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成本计算器" sheetId="1" state="visible" r:id="rId3"/>
    <sheet name="分镜明细" sheetId="2" state="visible" r:id="rId4"/>
    <sheet name="模型与单价" sheetId="3" state="visible" r:id="rId5"/>
    <sheet name="抽卡敏感性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<sst xmlns="http://schemas.openxmlformats.org/spreadsheetml/2006/main" count="148" uniqueCount="113">
  <si>
    <r>
      <rPr>
        <b val="true"/>
        <sz val="14"/>
        <color rgb="FF1F3864"/>
        <rFont val="Noto Sans SC"/>
        <family val="2"/>
      </rPr>
      <t xml:space="preserve">仿真人短剧 </t>
    </r>
    <r>
      <rPr>
        <b val="true"/>
        <sz val="14"/>
        <color rgb="FF1F3864"/>
        <rFont val="Cambria"/>
        <family val="0"/>
        <charset val="1"/>
      </rPr>
      <t xml:space="preserve">· </t>
    </r>
    <r>
      <rPr>
        <b val="true"/>
        <sz val="14"/>
        <color rgb="FF1F3864"/>
        <rFont val="Noto Sans SC"/>
        <family val="2"/>
      </rPr>
      <t xml:space="preserve">成本计算器</t>
    </r>
  </si>
  <si>
    <r>
      <rPr>
        <sz val="9"/>
        <color rgb="FF808080"/>
        <rFont val="Noto Sans SC"/>
        <family val="2"/>
      </rPr>
      <t xml:space="preserve">竖屏 </t>
    </r>
    <r>
      <rPr>
        <sz val="9"/>
        <color rgb="FF808080"/>
        <rFont val="Cambria"/>
        <family val="0"/>
        <charset val="1"/>
      </rPr>
      <t xml:space="preserve">9:16 </t>
    </r>
    <r>
      <rPr>
        <sz val="9"/>
        <color rgb="FF808080"/>
        <rFont val="Noto Sans SC"/>
        <family val="2"/>
      </rPr>
      <t xml:space="preserve">｜ 黄色格子可改，绿色格子自动计算 ｜ 单价请以火山方舟控制台为准</t>
    </r>
  </si>
  <si>
    <r>
      <rPr>
        <b val="true"/>
        <sz val="11"/>
        <color rgb="FF1F3864"/>
        <rFont val="Noto Sans SC"/>
        <family val="2"/>
      </rPr>
      <t xml:space="preserve">【</t>
    </r>
    <r>
      <rPr>
        <b val="true"/>
        <sz val="11"/>
        <color rgb="FF1F3864"/>
        <rFont val="Cambria"/>
        <family val="0"/>
        <charset val="1"/>
      </rPr>
      <t xml:space="preserve">1</t>
    </r>
    <r>
      <rPr>
        <b val="true"/>
        <sz val="11"/>
        <color rgb="FF1F3864"/>
        <rFont val="Noto Sans SC"/>
        <family val="2"/>
      </rPr>
      <t xml:space="preserve">】项目规模</t>
    </r>
  </si>
  <si>
    <t xml:space="preserve">单集时长（秒）</t>
  </si>
  <si>
    <t xml:space="preserve">平均单镜时长（秒）</t>
  </si>
  <si>
    <t xml:space="preserve">镜头数（自动）</t>
  </si>
  <si>
    <t xml:space="preserve">集数</t>
  </si>
  <si>
    <r>
      <rPr>
        <b val="true"/>
        <sz val="11"/>
        <color rgb="FF1F3864"/>
        <rFont val="Noto Sans SC"/>
        <family val="2"/>
      </rPr>
      <t xml:space="preserve">【</t>
    </r>
    <r>
      <rPr>
        <b val="true"/>
        <sz val="11"/>
        <color rgb="FF1F3864"/>
        <rFont val="Cambria"/>
        <family val="0"/>
        <charset val="1"/>
      </rPr>
      <t xml:space="preserve">2</t>
    </r>
    <r>
      <rPr>
        <b val="true"/>
        <sz val="11"/>
        <color rgb="FF1F3864"/>
        <rFont val="Noto Sans SC"/>
        <family val="2"/>
      </rPr>
      <t xml:space="preserve">】视频生成策略</t>
    </r>
  </si>
  <si>
    <t xml:space="preserve">视频模型</t>
  </si>
  <si>
    <r>
      <rPr>
        <sz val="11"/>
        <color theme="1"/>
        <rFont val="Noto Sans SC"/>
        <family val="2"/>
      </rPr>
      <t xml:space="preserve">旗舰 </t>
    </r>
    <r>
      <rPr>
        <sz val="11"/>
        <color theme="1"/>
        <rFont val="Calibri"/>
        <family val="2"/>
        <charset val="1"/>
      </rPr>
      <t xml:space="preserve">Seedance 2.5</t>
    </r>
  </si>
  <si>
    <r>
      <rPr>
        <sz val="11"/>
        <color theme="1"/>
        <rFont val="Noto Sans SC"/>
        <family val="2"/>
      </rPr>
      <t xml:space="preserve">成片单价（元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</rPr>
      <t xml:space="preserve">秒）</t>
    </r>
  </si>
  <si>
    <r>
      <rPr>
        <sz val="11"/>
        <color theme="1"/>
        <rFont val="Noto Sans SC"/>
        <family val="2"/>
      </rPr>
      <t xml:space="preserve">使用 </t>
    </r>
    <r>
      <rPr>
        <sz val="11"/>
        <color theme="1"/>
        <rFont val="Calibri"/>
        <family val="2"/>
        <charset val="1"/>
      </rPr>
      <t xml:space="preserve">Draft </t>
    </r>
    <r>
      <rPr>
        <sz val="11"/>
        <color theme="1"/>
        <rFont val="Noto Sans SC"/>
        <family val="2"/>
      </rPr>
      <t xml:space="preserve">样片模式</t>
    </r>
  </si>
  <si>
    <t xml:space="preserve">是</t>
  </si>
  <si>
    <r>
      <rPr>
        <sz val="11"/>
        <color theme="1"/>
        <rFont val="Calibri"/>
        <family val="2"/>
        <charset val="1"/>
      </rPr>
      <t xml:space="preserve">Draft </t>
    </r>
    <r>
      <rPr>
        <sz val="11"/>
        <color theme="1"/>
        <rFont val="Noto Sans SC"/>
        <family val="2"/>
      </rPr>
      <t xml:space="preserve">单价（元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</rPr>
      <t xml:space="preserve">秒</t>
    </r>
    <r>
      <rPr>
        <sz val="11"/>
        <color theme="1"/>
        <rFont val="Calibri"/>
        <family val="2"/>
        <charset val="1"/>
      </rPr>
      <t xml:space="preserve">·480P</t>
    </r>
    <r>
      <rPr>
        <sz val="11"/>
        <color theme="1"/>
        <rFont val="Noto Sans SC"/>
        <family val="2"/>
      </rPr>
      <t xml:space="preserve">）</t>
    </r>
  </si>
  <si>
    <t xml:space="preserve">每镜抽卡次数</t>
  </si>
  <si>
    <r>
      <rPr>
        <b val="true"/>
        <sz val="11"/>
        <color rgb="FF1F3864"/>
        <rFont val="Noto Sans SC"/>
        <family val="2"/>
      </rPr>
      <t xml:space="preserve">【</t>
    </r>
    <r>
      <rPr>
        <b val="true"/>
        <sz val="11"/>
        <color rgb="FF1F3864"/>
        <rFont val="Cambria"/>
        <family val="0"/>
        <charset val="1"/>
      </rPr>
      <t xml:space="preserve">3</t>
    </r>
    <r>
      <rPr>
        <b val="true"/>
        <sz val="11"/>
        <color rgb="FF1F3864"/>
        <rFont val="Noto Sans SC"/>
        <family val="2"/>
      </rPr>
      <t xml:space="preserve">】图片与其他</t>
    </r>
  </si>
  <si>
    <t xml:space="preserve">图片张数（每集）</t>
  </si>
  <si>
    <r>
      <rPr>
        <sz val="11"/>
        <color theme="1"/>
        <rFont val="Noto Sans SC"/>
        <family val="2"/>
      </rPr>
      <t xml:space="preserve">图片单价（元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</rPr>
      <t xml:space="preserve">张）</t>
    </r>
  </si>
  <si>
    <t xml:space="preserve">图片模型</t>
  </si>
  <si>
    <t xml:space="preserve">doubao-seedream-4-0-250828</t>
  </si>
  <si>
    <r>
      <rPr>
        <sz val="11"/>
        <color theme="1"/>
        <rFont val="Noto Sans SC"/>
        <family val="2"/>
      </rPr>
      <t xml:space="preserve">单独 </t>
    </r>
    <r>
      <rPr>
        <sz val="11"/>
        <color theme="1"/>
        <rFont val="Calibri"/>
        <family val="2"/>
        <charset val="1"/>
      </rPr>
      <t xml:space="preserve">TTS </t>
    </r>
    <r>
      <rPr>
        <sz val="11"/>
        <color theme="1"/>
        <rFont val="Noto Sans SC"/>
        <family val="2"/>
      </rPr>
      <t xml:space="preserve">配音（元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</rPr>
      <t xml:space="preserve">集）</t>
    </r>
  </si>
  <si>
    <r>
      <rPr>
        <sz val="11"/>
        <color theme="1"/>
        <rFont val="Noto Sans SC"/>
        <family val="2"/>
      </rPr>
      <t xml:space="preserve">我的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SC"/>
        <family val="2"/>
      </rPr>
      <t xml:space="preserve">成本（元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</rPr>
      <t xml:space="preserve">集）</t>
    </r>
  </si>
  <si>
    <r>
      <rPr>
        <b val="true"/>
        <sz val="11"/>
        <color rgb="FF1F3864"/>
        <rFont val="Noto Sans SC"/>
        <family val="2"/>
      </rPr>
      <t xml:space="preserve">【</t>
    </r>
    <r>
      <rPr>
        <b val="true"/>
        <sz val="11"/>
        <color rgb="FF1F3864"/>
        <rFont val="Cambria"/>
        <family val="0"/>
        <charset val="1"/>
      </rPr>
      <t xml:space="preserve">4</t>
    </r>
    <r>
      <rPr>
        <b val="true"/>
        <sz val="11"/>
        <color rgb="FF1F3864"/>
        <rFont val="Noto Sans SC"/>
        <family val="2"/>
      </rPr>
      <t xml:space="preserve">】测算结果</t>
    </r>
  </si>
  <si>
    <t xml:space="preserve">样片生成时长（秒）</t>
  </si>
  <si>
    <t xml:space="preserve">成片生成时长（秒）</t>
  </si>
  <si>
    <t xml:space="preserve">视频成本（元）</t>
  </si>
  <si>
    <t xml:space="preserve">图片成本（元）</t>
  </si>
  <si>
    <t xml:space="preserve">配音成本（元）</t>
  </si>
  <si>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SC"/>
        <family val="2"/>
      </rPr>
      <t xml:space="preserve">成本（元）</t>
    </r>
  </si>
  <si>
    <t xml:space="preserve">单集合计（元）</t>
  </si>
  <si>
    <t xml:space="preserve">单集每分钟成本（元）</t>
  </si>
  <si>
    <t xml:space="preserve">整部剧合计（元）</t>
  </si>
  <si>
    <t xml:space="preserve">整部剧总时长（分钟）</t>
  </si>
  <si>
    <t xml:space="preserve">分镜成本明细（可逐个镜头选择策略与抽卡次数）</t>
  </si>
  <si>
    <t xml:space="preserve">镜号</t>
  </si>
  <si>
    <r>
      <rPr>
        <b val="true"/>
        <sz val="11"/>
        <color rgb="FFFFFFFF"/>
        <rFont val="Noto Sans SC"/>
        <family val="2"/>
      </rPr>
      <t xml:space="preserve">时长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SC"/>
        <family val="2"/>
      </rPr>
      <t xml:space="preserve">秒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</si>
  <si>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画面描述</t>
  </si>
  <si>
    <t xml:space="preserve">策略</t>
  </si>
  <si>
    <t xml:space="preserve">抽卡次数</t>
  </si>
  <si>
    <r>
      <rPr>
        <b val="true"/>
        <sz val="11"/>
        <color rgb="FFFFFFFF"/>
        <rFont val="Noto Sans SC"/>
        <family val="2"/>
      </rPr>
      <t xml:space="preserve">样片成本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SC"/>
        <family val="2"/>
      </rPr>
      <t xml:space="preserve">元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</si>
  <si>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Noto Sans SC"/>
        <family val="2"/>
      </rPr>
      <t xml:space="preserve">成片成本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SC"/>
        <family val="2"/>
      </rPr>
      <t xml:space="preserve">元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</si>
  <si>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Noto Sans SC"/>
        <family val="2"/>
      </rPr>
      <t xml:space="preserve">小计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SC"/>
        <family val="2"/>
      </rPr>
      <t xml:space="preserve">元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</si>
  <si>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S01</t>
  </si>
  <si>
    <t xml:space="preserve">Draft</t>
  </si>
  <si>
    <t xml:space="preserve">S02</t>
  </si>
  <si>
    <t xml:space="preserve">S03</t>
  </si>
  <si>
    <t xml:space="preserve">S04</t>
  </si>
  <si>
    <t xml:space="preserve">S05</t>
  </si>
  <si>
    <t xml:space="preserve">S06</t>
  </si>
  <si>
    <t xml:space="preserve">S07</t>
  </si>
  <si>
    <t xml:space="preserve">S08</t>
  </si>
  <si>
    <t xml:space="preserve">S09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</si>
  <si>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</si>
  <si>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</si>
  <si>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</si>
  <si>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</si>
  <si>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</si>
  <si>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</si>
  <si>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</si>
  <si>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</si>
  <si>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</si>
  <si>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</si>
  <si>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</si>
  <si>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合计</t>
  </si>
  <si>
    <r>
      <rPr>
        <b val="true"/>
        <sz val="14"/>
        <color rgb="FF1F3864"/>
        <rFont val="Noto Sans SC"/>
        <family val="2"/>
      </rPr>
      <t xml:space="preserve">模型 </t>
    </r>
    <r>
      <rPr>
        <b val="true"/>
        <sz val="14"/>
        <color rgb="FF1F3864"/>
        <rFont val="Cambria"/>
        <family val="0"/>
        <charset val="1"/>
      </rPr>
      <t xml:space="preserve">ID </t>
    </r>
    <r>
      <rPr>
        <b val="true"/>
        <sz val="14"/>
        <color rgb="FF1F3864"/>
        <rFont val="Noto Sans SC"/>
        <family val="2"/>
      </rPr>
      <t xml:space="preserve">与单价（火山方舟 </t>
    </r>
    <r>
      <rPr>
        <b val="true"/>
        <sz val="14"/>
        <color rgb="FF1F3864"/>
        <rFont val="Cambria"/>
        <family val="0"/>
        <charset val="1"/>
      </rPr>
      <t xml:space="preserve">/ Ark</t>
    </r>
    <r>
      <rPr>
        <b val="true"/>
        <sz val="14"/>
        <color rgb="FF1F3864"/>
        <rFont val="Noto Sans SC"/>
        <family val="2"/>
      </rPr>
      <t xml:space="preserve">）</t>
    </r>
  </si>
  <si>
    <t xml:space="preserve">档位</t>
  </si>
  <si>
    <r>
      <rPr>
        <b val="true"/>
        <sz val="11"/>
        <color rgb="FFFFFFFF"/>
        <rFont val="Noto Sans SC"/>
        <family val="2"/>
      </rPr>
      <t xml:space="preserve">模型 </t>
    </r>
    <r>
      <rPr>
        <b val="true"/>
        <sz val="11"/>
        <color rgb="FFFFFFFF"/>
        <rFont val="Cambria"/>
        <family val="0"/>
        <charset val="1"/>
      </rPr>
      <t xml:space="preserve">ID</t>
    </r>
  </si>
  <si>
    <t xml:space="preserve">分辨率</t>
  </si>
  <si>
    <t xml:space="preserve">单次时长</t>
  </si>
  <si>
    <t xml:space="preserve">单价</t>
  </si>
  <si>
    <t xml:space="preserve">计费单位</t>
  </si>
  <si>
    <r>
      <rPr>
        <b val="true"/>
        <sz val="11"/>
        <color rgb="FFFFFFFF"/>
        <rFont val="Noto Sans SC"/>
        <family val="2"/>
      </rPr>
      <t xml:space="preserve">来源 </t>
    </r>
    <r>
      <rPr>
        <b val="true"/>
        <sz val="11"/>
        <color rgb="FFFFFFFF"/>
        <rFont val="Cambria"/>
        <family val="0"/>
        <charset val="1"/>
      </rPr>
      <t xml:space="preserve">/ </t>
    </r>
    <r>
      <rPr>
        <b val="true"/>
        <sz val="11"/>
        <color rgb="FFFFFFFF"/>
        <rFont val="Noto Sans SC"/>
        <family val="2"/>
      </rPr>
      <t xml:space="preserve">置信度</t>
    </r>
  </si>
  <si>
    <t xml:space="preserve">doubao-seedance-2-5-260628</t>
  </si>
  <si>
    <t xml:space="preserve">480p / 720p / 1080p / 4k</t>
  </si>
  <si>
    <t xml:space="preserve">4-15s</t>
  </si>
  <si>
    <r>
      <rPr>
        <sz val="11"/>
        <color theme="1"/>
        <rFont val="Noto Sans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</rPr>
      <t xml:space="preserve">秒</t>
    </r>
  </si>
  <si>
    <r>
      <rPr>
        <sz val="11"/>
        <color theme="1"/>
        <rFont val="Noto Sans SC"/>
        <family val="2"/>
      </rPr>
      <t xml:space="preserve">你提供（</t>
    </r>
    <r>
      <rPr>
        <sz val="11"/>
        <color theme="1"/>
        <rFont val="Calibri"/>
        <family val="2"/>
        <charset val="1"/>
      </rPr>
      <t xml:space="preserve">1080P</t>
    </r>
    <r>
      <rPr>
        <sz val="11"/>
        <color theme="1"/>
        <rFont val="Noto Sans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</rPr>
      <t xml:space="preserve">高</t>
    </r>
  </si>
  <si>
    <r>
      <rPr>
        <sz val="11"/>
        <color theme="1"/>
        <rFont val="Noto Sans SC"/>
        <family val="2"/>
      </rPr>
      <t xml:space="preserve">标准 </t>
    </r>
    <r>
      <rPr>
        <sz val="11"/>
        <color theme="1"/>
        <rFont val="Calibri"/>
        <family val="2"/>
        <charset val="1"/>
      </rPr>
      <t xml:space="preserve">Seedance 2.0 pro</t>
    </r>
  </si>
  <si>
    <t xml:space="preserve">doubao-seedance-2-0-260128</t>
  </si>
  <si>
    <r>
      <rPr>
        <sz val="11"/>
        <color theme="1"/>
        <rFont val="Noto Sans SC"/>
        <family val="2"/>
      </rPr>
      <t xml:space="preserve">你提供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</si>
  <si>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Seedance 2.5 Draft </t>
    </r>
    <r>
      <rPr>
        <sz val="11"/>
        <color theme="1"/>
        <rFont val="Noto Sans SC"/>
        <family val="2"/>
      </rPr>
      <t xml:space="preserve">样片</t>
    </r>
  </si>
  <si>
    <r>
      <rPr>
        <sz val="11"/>
        <color theme="1"/>
        <rFont val="Calibri"/>
        <family val="2"/>
        <charset val="1"/>
      </rPr>
      <t xml:space="preserve">doubao-seedance-2-5-260628</t>
    </r>
    <r>
      <rPr>
        <sz val="11"/>
        <color theme="1"/>
        <rFont val="Noto Sans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draft=true</t>
    </r>
    <r>
      <rPr>
        <sz val="11"/>
        <color theme="1"/>
        <rFont val="Noto Sans SC"/>
        <family val="2"/>
      </rPr>
      <t xml:space="preserve">）</t>
    </r>
  </si>
  <si>
    <t xml:space="preserve">480p</t>
  </si>
  <si>
    <r>
      <rPr>
        <sz val="11"/>
        <color theme="1"/>
        <rFont val="Noto Sans SC"/>
        <family val="2"/>
      </rPr>
      <t xml:space="preserve">由官方省费数据反推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</rPr>
      <t xml:space="preserve">中</t>
    </r>
  </si>
  <si>
    <r>
      <rPr>
        <sz val="11"/>
        <color theme="1"/>
        <rFont val="Noto Sans SC"/>
        <family val="2"/>
      </rPr>
      <t xml:space="preserve">快速 </t>
    </r>
    <r>
      <rPr>
        <sz val="11"/>
        <color theme="1"/>
        <rFont val="Calibri"/>
        <family val="2"/>
        <charset val="1"/>
      </rPr>
      <t xml:space="preserve">Seedance 2.0 fast</t>
    </r>
  </si>
  <si>
    <t xml:space="preserve">doubao-seedance-2-0-fast-260128</t>
  </si>
  <si>
    <r>
      <rPr>
        <sz val="11"/>
        <color theme="1"/>
        <rFont val="Calibri"/>
        <family val="2"/>
        <charset val="1"/>
      </rPr>
      <t xml:space="preserve">480p / 720p</t>
    </r>
    <r>
      <rPr>
        <sz val="11"/>
        <color theme="1"/>
        <rFont val="Noto Sans SC"/>
        <family val="2"/>
      </rPr>
      <t xml:space="preserve">（不支持 </t>
    </r>
    <r>
      <rPr>
        <sz val="11"/>
        <color theme="1"/>
        <rFont val="Calibri"/>
        <family val="2"/>
        <charset val="1"/>
      </rPr>
      <t xml:space="preserve">1080p</t>
    </r>
    <r>
      <rPr>
        <sz val="11"/>
        <color theme="1"/>
        <rFont val="Noto Sans SC"/>
        <family val="2"/>
      </rPr>
      <t xml:space="preserve">）</t>
    </r>
  </si>
  <si>
    <r>
      <rPr>
        <sz val="11"/>
        <color theme="1"/>
        <rFont val="Noto Sans SC"/>
        <family val="2"/>
      </rPr>
      <t xml:space="preserve">官方 </t>
    </r>
    <r>
      <rPr>
        <sz val="11"/>
        <color theme="1"/>
        <rFont val="Calibri"/>
        <family val="2"/>
        <charset val="1"/>
      </rPr>
      <t xml:space="preserve">SDK </t>
    </r>
    <r>
      <rPr>
        <sz val="11"/>
        <color theme="1"/>
        <rFont val="Noto Sans SC"/>
        <family val="2"/>
      </rPr>
      <t xml:space="preserve">文档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</rPr>
      <t xml:space="preserve">价格待填</t>
    </r>
  </si>
  <si>
    <r>
      <rPr>
        <sz val="11"/>
        <color theme="1"/>
        <rFont val="Noto Sans SC"/>
        <family val="2"/>
      </rPr>
      <t xml:space="preserve">便宜 </t>
    </r>
    <r>
      <rPr>
        <sz val="11"/>
        <color theme="1"/>
        <rFont val="Calibri"/>
        <family val="2"/>
        <charset val="1"/>
      </rPr>
      <t xml:space="preserve">Seedance 2.0 mini</t>
    </r>
  </si>
  <si>
    <t xml:space="preserve">doubao-seedance-2-0-mini-260615</t>
  </si>
  <si>
    <r>
      <rPr>
        <sz val="11"/>
        <color theme="1"/>
        <rFont val="Noto Sans SC"/>
        <family val="2"/>
      </rPr>
      <t xml:space="preserve">第三方网关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</rPr>
      <t xml:space="preserve">价格待填</t>
    </r>
  </si>
  <si>
    <r>
      <rPr>
        <sz val="11"/>
        <color theme="1"/>
        <rFont val="Noto Sans SC"/>
        <family val="2"/>
      </rPr>
      <t xml:space="preserve">图片 </t>
    </r>
    <r>
      <rPr>
        <sz val="11"/>
        <color theme="1"/>
        <rFont val="Calibri"/>
        <family val="2"/>
        <charset val="1"/>
      </rPr>
      <t xml:space="preserve">Seedream 4.0</t>
    </r>
  </si>
  <si>
    <t xml:space="preserve">2K / 4K</t>
  </si>
  <si>
    <t xml:space="preserve">—</t>
  </si>
  <si>
    <r>
      <rPr>
        <sz val="11"/>
        <color theme="1"/>
        <rFont val="Noto Sans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</rPr>
      <t xml:space="preserve">张</t>
    </r>
  </si>
  <si>
    <r>
      <rPr>
        <sz val="11"/>
        <color theme="1"/>
        <rFont val="Noto Sans SC"/>
        <family val="2"/>
      </rPr>
      <t xml:space="preserve">估算，需核对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</rPr>
      <t xml:space="preserve">低</t>
    </r>
  </si>
  <si>
    <r>
      <rPr>
        <sz val="11"/>
        <color theme="1"/>
        <rFont val="Noto Sans SC"/>
        <family val="2"/>
      </rPr>
      <t xml:space="preserve">图片 </t>
    </r>
    <r>
      <rPr>
        <sz val="11"/>
        <color theme="1"/>
        <rFont val="Calibri"/>
        <family val="2"/>
        <charset val="1"/>
      </rPr>
      <t xml:space="preserve">Seedream 5.0 pro</t>
    </r>
  </si>
  <si>
    <r>
      <rPr>
        <sz val="11"/>
        <color theme="1"/>
        <rFont val="Noto Sans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ID </t>
    </r>
    <r>
      <rPr>
        <sz val="11"/>
        <color theme="1"/>
        <rFont val="Noto Sans SC"/>
        <family val="2"/>
      </rPr>
      <t xml:space="preserve">待确认，控制台查询）</t>
    </r>
  </si>
  <si>
    <r>
      <rPr>
        <sz val="11"/>
        <color theme="1"/>
        <rFont val="Noto Sans SC"/>
        <family val="2"/>
      </rPr>
      <t xml:space="preserve">已上线但 </t>
    </r>
    <r>
      <rPr>
        <sz val="11"/>
        <color theme="1"/>
        <rFont val="Calibri"/>
        <family val="2"/>
        <charset val="1"/>
      </rPr>
      <t xml:space="preserve">ID </t>
    </r>
    <r>
      <rPr>
        <sz val="11"/>
        <color theme="1"/>
        <rFont val="Noto Sans SC"/>
        <family val="2"/>
      </rPr>
      <t xml:space="preserve">未核实</t>
    </r>
  </si>
  <si>
    <t xml:space="preserve">说明：</t>
  </si>
  <si>
    <r>
      <rPr>
        <sz val="9"/>
        <color rgb="FF808080"/>
        <rFont val="Cambria"/>
        <family val="0"/>
        <charset val="1"/>
      </rPr>
      <t xml:space="preserve">1) </t>
    </r>
    <r>
      <rPr>
        <sz val="9"/>
        <color rgb="FF808080"/>
        <rFont val="Noto Sans SC"/>
        <family val="2"/>
      </rPr>
      <t xml:space="preserve">「</t>
    </r>
    <r>
      <rPr>
        <sz val="9"/>
        <color rgb="FF808080"/>
        <rFont val="Cambria"/>
        <family val="0"/>
        <charset val="1"/>
      </rPr>
      <t xml:space="preserve">Draft </t>
    </r>
    <r>
      <rPr>
        <sz val="9"/>
        <color rgb="FF808080"/>
        <rFont val="Noto Sans SC"/>
        <family val="2"/>
      </rPr>
      <t xml:space="preserve">样片」单价 </t>
    </r>
    <r>
      <rPr>
        <sz val="9"/>
        <color rgb="FF808080"/>
        <rFont val="Cambria"/>
        <family val="0"/>
        <charset val="1"/>
      </rPr>
      <t xml:space="preserve">0.26 </t>
    </r>
    <r>
      <rPr>
        <sz val="9"/>
        <color rgb="FF808080"/>
        <rFont val="Noto Sans SC"/>
        <family val="2"/>
      </rPr>
      <t xml:space="preserve">元</t>
    </r>
    <r>
      <rPr>
        <sz val="9"/>
        <color rgb="FF808080"/>
        <rFont val="Cambria"/>
        <family val="0"/>
        <charset val="1"/>
      </rPr>
      <t xml:space="preserve">/</t>
    </r>
    <r>
      <rPr>
        <sz val="9"/>
        <color rgb="FF808080"/>
        <rFont val="Noto Sans SC"/>
        <family val="2"/>
      </rPr>
      <t xml:space="preserve">秒 是反推值，不是官方公布价。官方口径：</t>
    </r>
    <r>
      <rPr>
        <sz val="9"/>
        <color rgb="FF808080"/>
        <rFont val="Cambria"/>
        <family val="0"/>
        <charset val="1"/>
      </rPr>
      <t xml:space="preserve">Seedance 2.5 </t>
    </r>
    <r>
      <rPr>
        <sz val="9"/>
        <color rgb="FF808080"/>
        <rFont val="Noto Sans SC"/>
        <family val="2"/>
      </rPr>
      <t xml:space="preserve">生成 </t>
    </r>
    <r>
      <rPr>
        <sz val="9"/>
        <color rgb="FF808080"/>
        <rFont val="Cambria"/>
        <family val="0"/>
        <charset val="1"/>
      </rPr>
      <t xml:space="preserve">5 </t>
    </r>
    <r>
      <rPr>
        <sz val="9"/>
        <color rgb="FF808080"/>
        <rFont val="Noto Sans SC"/>
        <family val="2"/>
      </rPr>
      <t xml:space="preserve">秒 </t>
    </r>
    <r>
      <rPr>
        <sz val="9"/>
        <color rgb="FF808080"/>
        <rFont val="Cambria"/>
        <family val="0"/>
        <charset val="1"/>
      </rPr>
      <t xml:space="preserve">1080P </t>
    </r>
    <r>
      <rPr>
        <sz val="9"/>
        <color rgb="FF808080"/>
        <rFont val="Noto Sans SC"/>
        <family val="2"/>
      </rPr>
      <t xml:space="preserve">镜头、</t>
    </r>
  </si>
  <si>
    <r>
      <rPr>
        <sz val="9"/>
        <color rgb="FF808080"/>
        <rFont val="Noto Sans SC"/>
        <family val="2"/>
      </rPr>
      <t xml:space="preserve">   不含输入视频、抽卡 </t>
    </r>
    <r>
      <rPr>
        <sz val="9"/>
        <color rgb="FF808080"/>
        <rFont val="Cambria"/>
        <family val="0"/>
        <charset val="1"/>
      </rPr>
      <t xml:space="preserve">4 </t>
    </r>
    <r>
      <rPr>
        <sz val="9"/>
        <color rgb="FF808080"/>
        <rFont val="Noto Sans SC"/>
        <family val="2"/>
      </rPr>
      <t xml:space="preserve">次命中时，</t>
    </r>
    <r>
      <rPr>
        <sz val="9"/>
        <color rgb="FF808080"/>
        <rFont val="Cambria"/>
        <family val="0"/>
        <charset val="1"/>
      </rPr>
      <t xml:space="preserve">Draft </t>
    </r>
    <r>
      <rPr>
        <sz val="9"/>
        <color rgb="FF808080"/>
        <rFont val="Noto Sans SC"/>
        <family val="2"/>
      </rPr>
      <t xml:space="preserve">模式省 </t>
    </r>
    <r>
      <rPr>
        <sz val="9"/>
        <color rgb="FF808080"/>
        <rFont val="Cambria"/>
        <family val="0"/>
        <charset val="1"/>
      </rPr>
      <t xml:space="preserve">57%</t>
    </r>
    <r>
      <rPr>
        <sz val="9"/>
        <color rgb="FF808080"/>
        <rFont val="Noto Sans SC"/>
        <family val="2"/>
      </rPr>
      <t xml:space="preserve">；抽卡 </t>
    </r>
    <r>
      <rPr>
        <sz val="9"/>
        <color rgb="FF808080"/>
        <rFont val="Cambria"/>
        <family val="0"/>
        <charset val="1"/>
      </rPr>
      <t xml:space="preserve">20 </t>
    </r>
    <r>
      <rPr>
        <sz val="9"/>
        <color rgb="FF808080"/>
        <rFont val="Noto Sans SC"/>
        <family val="2"/>
      </rPr>
      <t xml:space="preserve">抽 </t>
    </r>
    <r>
      <rPr>
        <sz val="9"/>
        <color rgb="FF808080"/>
        <rFont val="Cambria"/>
        <family val="0"/>
        <charset val="1"/>
      </rPr>
      <t xml:space="preserve">1 </t>
    </r>
    <r>
      <rPr>
        <sz val="9"/>
        <color rgb="FF808080"/>
        <rFont val="Noto Sans SC"/>
        <family val="2"/>
      </rPr>
      <t xml:space="preserve">时省 </t>
    </r>
    <r>
      <rPr>
        <sz val="9"/>
        <color rgb="FF808080"/>
        <rFont val="Cambria"/>
        <family val="0"/>
        <charset val="1"/>
      </rPr>
      <t xml:space="preserve">77%</t>
    </r>
    <r>
      <rPr>
        <sz val="9"/>
        <color rgb="FF808080"/>
        <rFont val="Noto Sans SC"/>
        <family val="2"/>
      </rPr>
      <t xml:space="preserve">。用你给的 </t>
    </r>
    <r>
      <rPr>
        <sz val="9"/>
        <color rgb="FF808080"/>
        <rFont val="Cambria"/>
        <family val="0"/>
        <charset val="1"/>
      </rPr>
      <t xml:space="preserve">1.45 </t>
    </r>
    <r>
      <rPr>
        <sz val="9"/>
        <color rgb="FF808080"/>
        <rFont val="Noto Sans SC"/>
        <family val="2"/>
      </rPr>
      <t xml:space="preserve">元</t>
    </r>
    <r>
      <rPr>
        <sz val="9"/>
        <color rgb="FF808080"/>
        <rFont val="Cambria"/>
        <family val="0"/>
        <charset val="1"/>
      </rPr>
      <t xml:space="preserve">/</t>
    </r>
    <r>
      <rPr>
        <sz val="9"/>
        <color rgb="FF808080"/>
        <rFont val="Noto Sans SC"/>
        <family val="2"/>
      </rPr>
      <t xml:space="preserve">秒代入这两个</t>
    </r>
  </si>
  <si>
    <r>
      <rPr>
        <sz val="9"/>
        <color rgb="FF808080"/>
        <rFont val="Noto Sans SC"/>
        <family val="2"/>
      </rPr>
      <t xml:space="preserve">   数据点，反解出的 </t>
    </r>
    <r>
      <rPr>
        <sz val="9"/>
        <color rgb="FF808080"/>
        <rFont val="Cambria"/>
        <family val="0"/>
        <charset val="1"/>
      </rPr>
      <t xml:space="preserve">480P </t>
    </r>
    <r>
      <rPr>
        <sz val="9"/>
        <color rgb="FF808080"/>
        <rFont val="Noto Sans SC"/>
        <family val="2"/>
      </rPr>
      <t xml:space="preserve">样片单价一致落在 </t>
    </r>
    <r>
      <rPr>
        <sz val="9"/>
        <color rgb="FF808080"/>
        <rFont val="Cambria"/>
        <family val="0"/>
        <charset val="1"/>
      </rPr>
      <t xml:space="preserve">0.26 </t>
    </r>
    <r>
      <rPr>
        <sz val="9"/>
        <color rgb="FF808080"/>
        <rFont val="Noto Sans SC"/>
        <family val="2"/>
      </rPr>
      <t xml:space="preserve">元</t>
    </r>
    <r>
      <rPr>
        <sz val="9"/>
        <color rgb="FF808080"/>
        <rFont val="Cambria"/>
        <family val="0"/>
        <charset val="1"/>
      </rPr>
      <t xml:space="preserve">/</t>
    </r>
    <r>
      <rPr>
        <sz val="9"/>
        <color rgb="FF808080"/>
        <rFont val="Noto Sans SC"/>
        <family val="2"/>
      </rPr>
      <t xml:space="preserve">秒，故取该值。若 </t>
    </r>
    <r>
      <rPr>
        <sz val="9"/>
        <color rgb="FF808080"/>
        <rFont val="Cambria"/>
        <family val="0"/>
        <charset val="1"/>
      </rPr>
      <t xml:space="preserve">1.45 </t>
    </r>
    <r>
      <rPr>
        <sz val="9"/>
        <color rgb="FF808080"/>
        <rFont val="Noto Sans SC"/>
        <family val="2"/>
      </rPr>
      <t xml:space="preserve">不是 </t>
    </r>
    <r>
      <rPr>
        <sz val="9"/>
        <color rgb="FF808080"/>
        <rFont val="Cambria"/>
        <family val="0"/>
        <charset val="1"/>
      </rPr>
      <t xml:space="preserve">1080P </t>
    </r>
    <r>
      <rPr>
        <sz val="9"/>
        <color rgb="FF808080"/>
        <rFont val="Noto Sans SC"/>
        <family val="2"/>
      </rPr>
      <t xml:space="preserve">单价，此值需重算。</t>
    </r>
  </si>
  <si>
    <r>
      <rPr>
        <sz val="9"/>
        <color rgb="FF808080"/>
        <rFont val="Cambria"/>
        <family val="0"/>
        <charset val="1"/>
      </rPr>
      <t xml:space="preserve">2) fast / mini </t>
    </r>
    <r>
      <rPr>
        <sz val="9"/>
        <color rgb="FF808080"/>
        <rFont val="Noto Sans SC"/>
        <family val="2"/>
      </rPr>
      <t xml:space="preserve">传 </t>
    </r>
    <r>
      <rPr>
        <sz val="9"/>
        <color rgb="FF808080"/>
        <rFont val="Cambria"/>
        <family val="0"/>
        <charset val="1"/>
      </rPr>
      <t xml:space="preserve">1080p </t>
    </r>
    <r>
      <rPr>
        <sz val="9"/>
        <color rgb="FF808080"/>
        <rFont val="Noto Sans SC"/>
        <family val="2"/>
      </rPr>
      <t xml:space="preserve">或 </t>
    </r>
    <r>
      <rPr>
        <sz val="9"/>
        <color rgb="FF808080"/>
        <rFont val="Cambria"/>
        <family val="0"/>
        <charset val="1"/>
      </rPr>
      <t xml:space="preserve">4k </t>
    </r>
    <r>
      <rPr>
        <sz val="9"/>
        <color rgb="FF808080"/>
        <rFont val="Noto Sans SC"/>
        <family val="2"/>
      </rPr>
      <t xml:space="preserve">会返回 </t>
    </r>
    <r>
      <rPr>
        <sz val="9"/>
        <color rgb="FF808080"/>
        <rFont val="Cambria"/>
        <family val="0"/>
        <charset val="1"/>
      </rPr>
      <t xml:space="preserve">400</t>
    </r>
    <r>
      <rPr>
        <sz val="9"/>
        <color rgb="FF808080"/>
        <rFont val="Noto Sans SC"/>
        <family val="2"/>
      </rPr>
      <t xml:space="preserve">，只能出 </t>
    </r>
    <r>
      <rPr>
        <sz val="9"/>
        <color rgb="FF808080"/>
        <rFont val="Cambria"/>
        <family val="0"/>
        <charset val="1"/>
      </rPr>
      <t xml:space="preserve">480p/720p</t>
    </r>
    <r>
      <rPr>
        <sz val="9"/>
        <color rgb="FF808080"/>
        <rFont val="Noto Sans SC"/>
        <family val="2"/>
      </rPr>
      <t xml:space="preserve">。要求 </t>
    </r>
    <r>
      <rPr>
        <sz val="9"/>
        <color rgb="FF808080"/>
        <rFont val="Cambria"/>
        <family val="0"/>
        <charset val="1"/>
      </rPr>
      <t xml:space="preserve">1080P </t>
    </r>
    <r>
      <rPr>
        <sz val="9"/>
        <color rgb="FF808080"/>
        <rFont val="Noto Sans SC"/>
        <family val="2"/>
      </rPr>
      <t xml:space="preserve">时只能选 </t>
    </r>
    <r>
      <rPr>
        <sz val="9"/>
        <color rgb="FF808080"/>
        <rFont val="Cambria"/>
        <family val="0"/>
        <charset val="1"/>
      </rPr>
      <t xml:space="preserve">2.5 </t>
    </r>
    <r>
      <rPr>
        <sz val="9"/>
        <color rgb="FF808080"/>
        <rFont val="Noto Sans SC"/>
        <family val="2"/>
      </rPr>
      <t xml:space="preserve">或 </t>
    </r>
    <r>
      <rPr>
        <sz val="9"/>
        <color rgb="FF808080"/>
        <rFont val="Cambria"/>
        <family val="0"/>
        <charset val="1"/>
      </rPr>
      <t xml:space="preserve">2.0 pro</t>
    </r>
    <r>
      <rPr>
        <sz val="9"/>
        <color rgb="FF808080"/>
        <rFont val="Noto Sans SC"/>
        <family val="2"/>
      </rPr>
      <t xml:space="preserve">。</t>
    </r>
  </si>
  <si>
    <r>
      <rPr>
        <sz val="9"/>
        <color rgb="FF808080"/>
        <rFont val="Cambria"/>
        <family val="0"/>
        <charset val="1"/>
      </rPr>
      <t xml:space="preserve">3) Seedance 2.0 / 2.5 </t>
    </r>
    <r>
      <rPr>
        <sz val="9"/>
        <color rgb="FF808080"/>
        <rFont val="Noto Sans SC"/>
        <family val="2"/>
      </rPr>
      <t xml:space="preserve">原生支持音频生成与唇形同步（</t>
    </r>
    <r>
      <rPr>
        <sz val="9"/>
        <color rgb="FF808080"/>
        <rFont val="Cambria"/>
        <family val="0"/>
        <charset val="1"/>
      </rPr>
      <t xml:space="preserve">generate_audio </t>
    </r>
    <r>
      <rPr>
        <sz val="9"/>
        <color rgb="FF808080"/>
        <rFont val="Noto Sans SC"/>
        <family val="2"/>
      </rPr>
      <t xml:space="preserve">默认 </t>
    </r>
    <r>
      <rPr>
        <sz val="9"/>
        <color rgb="FF808080"/>
        <rFont val="Cambria"/>
        <family val="0"/>
        <charset val="1"/>
      </rPr>
      <t xml:space="preserve">true</t>
    </r>
    <r>
      <rPr>
        <sz val="9"/>
        <color rgb="FF808080"/>
        <rFont val="Noto Sans SC"/>
        <family val="2"/>
      </rPr>
      <t xml:space="preserve">），</t>
    </r>
  </si>
  <si>
    <r>
      <rPr>
        <sz val="9"/>
        <color rgb="FF808080"/>
        <rFont val="Noto Sans SC"/>
        <family val="2"/>
      </rPr>
      <t xml:space="preserve">   故「单独 </t>
    </r>
    <r>
      <rPr>
        <sz val="9"/>
        <color rgb="FF808080"/>
        <rFont val="Cambria"/>
        <family val="0"/>
        <charset val="1"/>
      </rPr>
      <t xml:space="preserve">TTS </t>
    </r>
    <r>
      <rPr>
        <sz val="9"/>
        <color rgb="FF808080"/>
        <rFont val="Noto Sans SC"/>
        <family val="2"/>
      </rPr>
      <t xml:space="preserve">配音」默认为 </t>
    </r>
    <r>
      <rPr>
        <sz val="9"/>
        <color rgb="FF808080"/>
        <rFont val="Cambria"/>
        <family val="0"/>
        <charset val="1"/>
      </rPr>
      <t xml:space="preserve">0</t>
    </r>
    <r>
      <rPr>
        <sz val="9"/>
        <color rgb="FF808080"/>
        <rFont val="Noto Sans SC"/>
        <family val="2"/>
      </rPr>
      <t xml:space="preserve">；若改用外部 </t>
    </r>
    <r>
      <rPr>
        <sz val="9"/>
        <color rgb="FF808080"/>
        <rFont val="Cambria"/>
        <family val="0"/>
        <charset val="1"/>
      </rPr>
      <t xml:space="preserve">TTS + </t>
    </r>
    <r>
      <rPr>
        <sz val="9"/>
        <color rgb="FF808080"/>
        <rFont val="Noto Sans SC"/>
        <family val="2"/>
      </rPr>
      <t xml:space="preserve">参考音频，请自行填入。</t>
    </r>
  </si>
  <si>
    <r>
      <rPr>
        <sz val="9"/>
        <color rgb="FF808080"/>
        <rFont val="Cambria"/>
        <family val="0"/>
        <charset val="1"/>
      </rPr>
      <t xml:space="preserve">4) 2.x </t>
    </r>
    <r>
      <rPr>
        <sz val="9"/>
        <color rgb="FF808080"/>
        <rFont val="Noto Sans SC"/>
        <family val="2"/>
      </rPr>
      <t xml:space="preserve">的 </t>
    </r>
    <r>
      <rPr>
        <sz val="9"/>
        <color rgb="FF808080"/>
        <rFont val="Cambria"/>
        <family val="0"/>
        <charset val="1"/>
      </rPr>
      <t xml:space="preserve">duration </t>
    </r>
    <r>
      <rPr>
        <sz val="9"/>
        <color rgb="FF808080"/>
        <rFont val="Noto Sans SC"/>
        <family val="2"/>
      </rPr>
      <t xml:space="preserve">支持 </t>
    </r>
    <r>
      <rPr>
        <sz val="9"/>
        <color rgb="FF808080"/>
        <rFont val="Cambria"/>
        <family val="0"/>
        <charset val="1"/>
      </rPr>
      <t xml:space="preserve">4-15 </t>
    </r>
    <r>
      <rPr>
        <sz val="9"/>
        <color rgb="FF808080"/>
        <rFont val="Noto Sans SC"/>
        <family val="2"/>
      </rPr>
      <t xml:space="preserve">秒，</t>
    </r>
    <r>
      <rPr>
        <sz val="9"/>
        <color rgb="FF808080"/>
        <rFont val="Cambria"/>
        <family val="0"/>
        <charset val="1"/>
      </rPr>
      <t xml:space="preserve">4 </t>
    </r>
    <r>
      <rPr>
        <sz val="9"/>
        <color rgb="FF808080"/>
        <rFont val="Noto Sans SC"/>
        <family val="2"/>
      </rPr>
      <t xml:space="preserve">秒镜头直接传 </t>
    </r>
    <r>
      <rPr>
        <sz val="9"/>
        <color rgb="FF808080"/>
        <rFont val="Cambria"/>
        <family val="0"/>
        <charset val="1"/>
      </rPr>
      <t xml:space="preserve">4</t>
    </r>
    <r>
      <rPr>
        <sz val="9"/>
        <color rgb="FF808080"/>
        <rFont val="Noto Sans SC"/>
        <family val="2"/>
      </rPr>
      <t xml:space="preserve">，不必按 </t>
    </r>
    <r>
      <rPr>
        <sz val="9"/>
        <color rgb="FF808080"/>
        <rFont val="Cambria"/>
        <family val="0"/>
        <charset val="1"/>
      </rPr>
      <t xml:space="preserve">5 </t>
    </r>
    <r>
      <rPr>
        <sz val="9"/>
        <color rgb="FF808080"/>
        <rFont val="Noto Sans SC"/>
        <family val="2"/>
      </rPr>
      <t xml:space="preserve">秒取整。</t>
    </r>
  </si>
  <si>
    <t xml:space="preserve">抽卡次数敏感性分析（整部单集，仅视频成本）</t>
  </si>
  <si>
    <r>
      <rPr>
        <sz val="9"/>
        <color rgb="FF808080"/>
        <rFont val="Noto Sans SC"/>
        <family val="2"/>
      </rPr>
      <t xml:space="preserve">结论：抽卡 </t>
    </r>
    <r>
      <rPr>
        <sz val="9"/>
        <color rgb="FF808080"/>
        <rFont val="Cambria"/>
        <family val="0"/>
        <charset val="1"/>
      </rPr>
      <t xml:space="preserve">1 </t>
    </r>
    <r>
      <rPr>
        <sz val="9"/>
        <color rgb="FF808080"/>
        <rFont val="Noto Sans SC"/>
        <family val="2"/>
      </rPr>
      <t xml:space="preserve">次命中时直出最省；抽卡 ≥</t>
    </r>
    <r>
      <rPr>
        <sz val="9"/>
        <color rgb="FF808080"/>
        <rFont val="Cambria"/>
        <family val="0"/>
        <charset val="1"/>
      </rPr>
      <t xml:space="preserve">2 </t>
    </r>
    <r>
      <rPr>
        <sz val="9"/>
        <color rgb="FF808080"/>
        <rFont val="Noto Sans SC"/>
        <family val="2"/>
      </rPr>
      <t xml:space="preserve">次后 </t>
    </r>
    <r>
      <rPr>
        <sz val="9"/>
        <color rgb="FF808080"/>
        <rFont val="Cambria"/>
        <family val="0"/>
        <charset val="1"/>
      </rPr>
      <t xml:space="preserve">Draft </t>
    </r>
    <r>
      <rPr>
        <sz val="9"/>
        <color rgb="FF808080"/>
        <rFont val="Noto Sans SC"/>
        <family val="2"/>
      </rPr>
      <t xml:space="preserve">模式全面胜出，抽得越多省得越多。</t>
    </r>
  </si>
  <si>
    <r>
      <rPr>
        <b val="true"/>
        <sz val="11"/>
        <color rgb="FFFFFFFF"/>
        <rFont val="Cambria"/>
        <family val="0"/>
        <charset val="1"/>
      </rPr>
      <t xml:space="preserve">2.0 pro </t>
    </r>
    <r>
      <rPr>
        <b val="true"/>
        <sz val="11"/>
        <color rgb="FFFFFFFF"/>
        <rFont val="Noto Sans SC"/>
        <family val="2"/>
      </rPr>
      <t xml:space="preserve">直抽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SC"/>
        <family val="2"/>
      </rPr>
      <t xml:space="preserve">元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</si>
  <si>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Cambria"/>
        <family val="0"/>
        <charset val="1"/>
      </rPr>
      <t xml:space="preserve">2.5 </t>
    </r>
    <r>
      <rPr>
        <b val="true"/>
        <sz val="11"/>
        <color rgb="FFFFFFFF"/>
        <rFont val="Noto Sans SC"/>
        <family val="2"/>
      </rPr>
      <t xml:space="preserve">直抽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SC"/>
        <family val="2"/>
      </rPr>
      <t xml:space="preserve">元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</si>
  <si>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Cambria"/>
        <family val="0"/>
        <charset val="1"/>
      </rPr>
      <t xml:space="preserve">2.5 + Draft(</t>
    </r>
    <r>
      <rPr>
        <b val="true"/>
        <sz val="11"/>
        <color rgb="FFFFFFFF"/>
        <rFont val="Noto Sans SC"/>
        <family val="2"/>
      </rPr>
      <t xml:space="preserve">元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</si>
  <si>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Cambria"/>
        <family val="0"/>
        <charset val="1"/>
      </rPr>
      <t xml:space="preserve">Draft </t>
    </r>
    <r>
      <rPr>
        <b val="true"/>
        <sz val="11"/>
        <color rgb="FFFFFFFF"/>
        <rFont val="Noto Sans SC"/>
        <family val="2"/>
      </rPr>
      <t xml:space="preserve">相对 </t>
    </r>
    <r>
      <rPr>
        <b val="true"/>
        <sz val="11"/>
        <color rgb="FFFFFFFF"/>
        <rFont val="Cambria"/>
        <family val="0"/>
        <charset val="1"/>
      </rPr>
      <t xml:space="preserve">2.5 </t>
    </r>
    <r>
      <rPr>
        <b val="true"/>
        <sz val="11"/>
        <color rgb="FFFFFFFF"/>
        <rFont val="Noto Sans SC"/>
        <family val="2"/>
      </rPr>
      <t xml:space="preserve">直抽节省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</si>
</sst>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#,##0.00"/>
    <numFmt numFmtId="167" formatCode="0.0"/>
    <numFmt numFmtId="168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Noto Sans SC"/>
      <family val="2"/>
    </font>
    <font>
      <b val="true"/>
      <sz val="14"/>
      <color rgb="FF1F3864"/>
      <name val="Cambria"/>
      <family val="0"/>
      <charset val="1"/>
    </font>
    <font>
      <sz val="9"/>
      <color rgb="FF808080"/>
      <name val="Noto Sans SC"/>
      <family val="2"/>
    </font>
    <font>
      <sz val="9"/>
      <color rgb="FF808080"/>
      <name val="Cambria"/>
      <family val="0"/>
      <charset val="1"/>
    </font>
    <font>
      <b val="true"/>
      <sz val="11"/>
      <color rgb="FF1F3864"/>
      <name val="Noto Sans SC"/>
      <family val="2"/>
    </font>
    <font>
      <b val="true"/>
      <sz val="11"/>
      <color rgb="FF1F3864"/>
      <name val="Cambria"/>
      <family val="0"/>
      <charset val="1"/>
    </font>
    <font>
      <sz val="11"/>
      <color theme="1"/>
      <name val="Noto Sans SC"/>
      <family val="2"/>
    </font>
    <font>
      <b val="true"/>
      <sz val="11"/>
      <name val="Noto Sans SC"/>
      <family val="2"/>
    </font>
    <font>
      <b val="true"/>
      <sz val="11"/>
      <name val="Cambria"/>
      <family val="0"/>
      <charset val="1"/>
    </font>
    <font>
      <b val="true"/>
      <sz val="11"/>
      <color rgb="FFFFFFFF"/>
      <name val="Noto Sans SC"/>
      <family val="2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9E2F3"/>
      </patternFill>
    </fill>
    <fill>
      <patternFill patternType="solid">
        <fgColor rgb="FF4472C4"/>
        <bgColor rgb="FF666699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5" min="3" style="0" width="14"/>
  </cols>
  <sheetData>
    <row r="1" customFormat="false" ht="21.6" hidden="false" customHeight="false" outlineLevel="0" collapsed="false">
      <c r="A1" s="1" t="s">
        <v>0</v>
      </c>
      <c r="B1" s="1"/>
      <c r="C1" s="1"/>
      <c r="D1" s="1"/>
      <c r="E1" s="1"/>
    </row>
    <row r="2" customFormat="false" ht="14.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7.15" hidden="false" customHeight="false" outlineLevel="0" collapsed="false">
      <c r="A4" s="3" t="s">
        <v>2</v>
      </c>
      <c r="B4" s="3"/>
      <c r="C4" s="3"/>
      <c r="D4" s="3"/>
      <c r="E4" s="3"/>
    </row>
    <row r="5" customFormat="false" ht="15" hidden="false" customHeight="false" outlineLevel="0" collapsed="false">
      <c r="A5" s="4" t="s">
        <v>3</v>
      </c>
      <c r="B5" s="5" t="n">
        <v>80</v>
      </c>
    </row>
    <row r="6" customFormat="false" ht="15" hidden="false" customHeight="false" outlineLevel="0" collapsed="false">
      <c r="A6" s="4" t="s">
        <v>4</v>
      </c>
      <c r="B6" s="5" t="n">
        <v>4</v>
      </c>
    </row>
    <row r="7" customFormat="false" ht="15" hidden="false" customHeight="false" outlineLevel="0" collapsed="false">
      <c r="A7" s="4" t="s">
        <v>5</v>
      </c>
      <c r="B7" s="6" t="n">
        <f aca="false">B5/B6</f>
        <v>20</v>
      </c>
    </row>
    <row r="8" customFormat="false" ht="15" hidden="false" customHeight="false" outlineLevel="0" collapsed="false">
      <c r="A8" s="4" t="s">
        <v>6</v>
      </c>
      <c r="B8" s="5" t="n">
        <v>80</v>
      </c>
    </row>
    <row r="10" customFormat="false" ht="17.15" hidden="false" customHeight="false" outlineLevel="0" collapsed="false">
      <c r="A10" s="3" t="s">
        <v>7</v>
      </c>
      <c r="B10" s="3"/>
      <c r="C10" s="3"/>
      <c r="D10" s="3"/>
      <c r="E10" s="3"/>
    </row>
    <row r="11" customFormat="false" ht="17.15" hidden="false" customHeight="false" outlineLevel="0" collapsed="false">
      <c r="A11" s="4" t="s">
        <v>8</v>
      </c>
      <c r="B11" s="7" t="s">
        <v>9</v>
      </c>
    </row>
    <row r="12" customFormat="false" ht="17.15" hidden="false" customHeight="false" outlineLevel="0" collapsed="false">
      <c r="A12" s="4" t="s">
        <v>10</v>
      </c>
      <c r="B12" s="8" t="n">
        <f aca="false">IFERROR(VLOOKUP($B$11,模型与单价!$A$4:$E$7,5,FALSE()),"")</f>
        <v>1.45</v>
      </c>
    </row>
    <row r="13" customFormat="false" ht="17.15" hidden="false" customHeight="false" outlineLevel="0" collapsed="false">
      <c r="A13" s="4" t="s">
        <v>11</v>
      </c>
      <c r="B13" s="7" t="s">
        <v>12</v>
      </c>
    </row>
    <row r="14" customFormat="false" ht="17.15" hidden="false" customHeight="false" outlineLevel="0" collapsed="false">
      <c r="A14" s="0" t="s">
        <v>13</v>
      </c>
      <c r="B14" s="9" t="n">
        <v>0.26</v>
      </c>
    </row>
    <row r="15" customFormat="false" ht="15" hidden="false" customHeight="false" outlineLevel="0" collapsed="false">
      <c r="A15" s="4" t="s">
        <v>14</v>
      </c>
      <c r="B15" s="10" t="n">
        <v>3</v>
      </c>
    </row>
    <row r="17" customFormat="false" ht="17.15" hidden="false" customHeight="false" outlineLevel="0" collapsed="false">
      <c r="A17" s="3" t="s">
        <v>15</v>
      </c>
      <c r="B17" s="3"/>
      <c r="C17" s="3"/>
      <c r="D17" s="3"/>
      <c r="E17" s="3"/>
    </row>
    <row r="18" customFormat="false" ht="15" hidden="false" customHeight="false" outlineLevel="0" collapsed="false">
      <c r="A18" s="4" t="s">
        <v>16</v>
      </c>
      <c r="B18" s="10" t="n">
        <v>50</v>
      </c>
    </row>
    <row r="19" customFormat="false" ht="17.15" hidden="false" customHeight="false" outlineLevel="0" collapsed="false">
      <c r="A19" s="4" t="s">
        <v>17</v>
      </c>
      <c r="B19" s="9" t="n">
        <v>0.2</v>
      </c>
    </row>
    <row r="20" customFormat="false" ht="15" hidden="false" customHeight="false" outlineLevel="0" collapsed="false">
      <c r="A20" s="4" t="s">
        <v>18</v>
      </c>
      <c r="B20" s="5" t="s">
        <v>19</v>
      </c>
    </row>
    <row r="21" customFormat="false" ht="17.15" hidden="false" customHeight="false" outlineLevel="0" collapsed="false">
      <c r="A21" s="4" t="s">
        <v>20</v>
      </c>
      <c r="B21" s="9" t="n">
        <v>0</v>
      </c>
    </row>
    <row r="22" customFormat="false" ht="17.15" hidden="false" customHeight="false" outlineLevel="0" collapsed="false">
      <c r="A22" s="4" t="s">
        <v>21</v>
      </c>
      <c r="B22" s="9" t="n">
        <v>8</v>
      </c>
    </row>
    <row r="24" customFormat="false" ht="17.15" hidden="false" customHeight="false" outlineLevel="0" collapsed="false">
      <c r="A24" s="3" t="s">
        <v>22</v>
      </c>
      <c r="B24" s="3"/>
      <c r="C24" s="3"/>
      <c r="D24" s="3"/>
      <c r="E24" s="3"/>
    </row>
    <row r="25" customFormat="false" ht="15" hidden="false" customHeight="false" outlineLevel="0" collapsed="false">
      <c r="A25" s="4" t="s">
        <v>23</v>
      </c>
      <c r="B25" s="6" t="n">
        <f aca="false">IF(B13="是",B7*B15*B6,0)</f>
        <v>240</v>
      </c>
    </row>
    <row r="26" customFormat="false" ht="15" hidden="false" customHeight="false" outlineLevel="0" collapsed="false">
      <c r="A26" s="4" t="s">
        <v>24</v>
      </c>
      <c r="B26" s="6" t="n">
        <f aca="false">IF(B13="是",B7*B6,B7*B15*B6)</f>
        <v>80</v>
      </c>
    </row>
    <row r="27" customFormat="false" ht="15" hidden="false" customHeight="false" outlineLevel="0" collapsed="false">
      <c r="A27" s="4" t="s">
        <v>25</v>
      </c>
      <c r="B27" s="8" t="n">
        <f aca="false">B25*B14+B26*B12</f>
        <v>178.4</v>
      </c>
    </row>
    <row r="28" customFormat="false" ht="15" hidden="false" customHeight="false" outlineLevel="0" collapsed="false">
      <c r="A28" s="4" t="s">
        <v>26</v>
      </c>
      <c r="B28" s="8" t="n">
        <f aca="false">B18*B19</f>
        <v>10</v>
      </c>
    </row>
    <row r="29" customFormat="false" ht="15" hidden="false" customHeight="false" outlineLevel="0" collapsed="false">
      <c r="A29" s="4" t="s">
        <v>27</v>
      </c>
      <c r="B29" s="8" t="n">
        <f aca="false">B21</f>
        <v>0</v>
      </c>
    </row>
    <row r="30" customFormat="false" ht="17.15" hidden="false" customHeight="false" outlineLevel="0" collapsed="false">
      <c r="A30" s="0" t="s">
        <v>28</v>
      </c>
      <c r="B30" s="8" t="n">
        <f aca="false">B22</f>
        <v>8</v>
      </c>
    </row>
    <row r="31" customFormat="false" ht="15" hidden="false" customHeight="false" outlineLevel="0" collapsed="false">
      <c r="A31" s="11" t="s">
        <v>29</v>
      </c>
      <c r="B31" s="12" t="n">
        <f aca="false">SUM(B27:B30)</f>
        <v>196.4</v>
      </c>
    </row>
    <row r="32" customFormat="false" ht="15" hidden="false" customHeight="false" outlineLevel="0" collapsed="false">
      <c r="A32" s="4" t="s">
        <v>30</v>
      </c>
      <c r="B32" s="8" t="n">
        <f aca="false">B31/(B5/60)</f>
        <v>147.3</v>
      </c>
    </row>
    <row r="33" customFormat="false" ht="15" hidden="false" customHeight="false" outlineLevel="0" collapsed="false">
      <c r="A33" s="11" t="s">
        <v>31</v>
      </c>
      <c r="B33" s="12" t="n">
        <f aca="false">B31*B8</f>
        <v>15712</v>
      </c>
    </row>
    <row r="34" customFormat="false" ht="15" hidden="false" customHeight="false" outlineLevel="0" collapsed="false">
      <c r="A34" s="4" t="s">
        <v>32</v>
      </c>
      <c r="B34" s="13" t="n">
        <f aca="false">B5*B8/60</f>
        <v>106.666666666667</v>
      </c>
    </row>
  </sheetData>
  <mergeCells count="6">
    <mergeCell ref="A1:E1"/>
    <mergeCell ref="A2:E2"/>
    <mergeCell ref="A4:E4"/>
    <mergeCell ref="A10:E10"/>
    <mergeCell ref="A17:E17"/>
    <mergeCell ref="A24:E24"/>
  </mergeCells>
  <dataValidations count="2">
    <dataValidation allowBlank="true" errorStyle="stop" operator="between" showDropDown="false" showErrorMessage="false" showInputMessage="false" sqref="B11" type="list">
      <formula1>"旗舰 Seedance 2.5,标准 Seedance 2.0 pro,快速 Seedance 2.0 fast,便宜 Seedance 2.0 mini"</formula1>
      <formula2>0</formula2>
    </dataValidation>
    <dataValidation allowBlank="false" errorStyle="stop" operator="between" showDropDown="false" showErrorMessage="false" showInputMessage="false" sqref="B13" type="list">
      <formula1>"是,否"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42"/>
    <col collapsed="false" customWidth="true" hidden="false" outlineLevel="0" max="5" min="4" style="0" width="10"/>
    <col collapsed="false" customWidth="true" hidden="false" outlineLevel="0" max="7" min="6" style="0" width="14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33</v>
      </c>
      <c r="B1" s="1"/>
      <c r="C1" s="1"/>
      <c r="D1" s="1"/>
      <c r="E1" s="1"/>
      <c r="F1" s="1"/>
      <c r="G1" s="1"/>
      <c r="H1" s="1"/>
    </row>
    <row r="2" customFormat="false" ht="17.15" hidden="false" customHeight="false" outlineLevel="0" collapsed="false">
      <c r="A2" s="14" t="s">
        <v>34</v>
      </c>
      <c r="B2" s="14" t="s">
        <v>35</v>
      </c>
      <c r="C2" s="14" t="s">
        <v>36</v>
      </c>
      <c r="D2" s="14" t="s">
        <v>37</v>
      </c>
      <c r="E2" s="14" t="s">
        <v>38</v>
      </c>
      <c r="F2" s="14" t="s">
        <v>39</v>
      </c>
      <c r="G2" s="14" t="s">
        <v>40</v>
      </c>
      <c r="H2" s="14" t="s">
        <v>41</v>
      </c>
    </row>
    <row r="3" customFormat="false" ht="15" hidden="false" customHeight="false" outlineLevel="0" collapsed="false">
      <c r="A3" s="15" t="s">
        <v>42</v>
      </c>
      <c r="B3" s="5" t="n">
        <v>4</v>
      </c>
      <c r="C3" s="15"/>
      <c r="D3" s="16" t="s">
        <v>43</v>
      </c>
      <c r="E3" s="10" t="n">
        <f aca="false">成本计算器!$B$15</f>
        <v>3</v>
      </c>
      <c r="F3" s="8" t="n">
        <f aca="false">IF($D3="Draft",$B3*$E3*成本计算器!$B$14,0)</f>
        <v>3.12</v>
      </c>
      <c r="G3" s="8" t="n">
        <f aca="false">IF($D3="Draft",$B3*成本计算器!$B$12,$B3*$E3*成本计算器!$B$12)</f>
        <v>5.8</v>
      </c>
      <c r="H3" s="8" t="n">
        <f aca="false">F3+G3</f>
        <v>8.92</v>
      </c>
    </row>
    <row r="4" customFormat="false" ht="15" hidden="false" customHeight="false" outlineLevel="0" collapsed="false">
      <c r="A4" s="15" t="s">
        <v>44</v>
      </c>
      <c r="B4" s="5" t="n">
        <v>4</v>
      </c>
      <c r="C4" s="15"/>
      <c r="D4" s="16" t="s">
        <v>43</v>
      </c>
      <c r="E4" s="10" t="n">
        <f aca="false">成本计算器!$B$15</f>
        <v>3</v>
      </c>
      <c r="F4" s="8" t="n">
        <f aca="false">IF($D4="Draft",$B4*$E4*成本计算器!$B$14,0)</f>
        <v>3.12</v>
      </c>
      <c r="G4" s="8" t="n">
        <f aca="false">IF($D4="Draft",$B4*成本计算器!$B$12,$B4*$E4*成本计算器!$B$12)</f>
        <v>5.8</v>
      </c>
      <c r="H4" s="8" t="n">
        <f aca="false">F4+G4</f>
        <v>8.92</v>
      </c>
    </row>
    <row r="5" customFormat="false" ht="15" hidden="false" customHeight="false" outlineLevel="0" collapsed="false">
      <c r="A5" s="15" t="s">
        <v>45</v>
      </c>
      <c r="B5" s="5" t="n">
        <v>4</v>
      </c>
      <c r="C5" s="15"/>
      <c r="D5" s="16" t="s">
        <v>43</v>
      </c>
      <c r="E5" s="10" t="n">
        <f aca="false">成本计算器!$B$15</f>
        <v>3</v>
      </c>
      <c r="F5" s="8" t="n">
        <f aca="false">IF($D5="Draft",$B5*$E5*成本计算器!$B$14,0)</f>
        <v>3.12</v>
      </c>
      <c r="G5" s="8" t="n">
        <f aca="false">IF($D5="Draft",$B5*成本计算器!$B$12,$B5*$E5*成本计算器!$B$12)</f>
        <v>5.8</v>
      </c>
      <c r="H5" s="8" t="n">
        <f aca="false">F5+G5</f>
        <v>8.92</v>
      </c>
    </row>
    <row r="6" customFormat="false" ht="15" hidden="false" customHeight="false" outlineLevel="0" collapsed="false">
      <c r="A6" s="15" t="s">
        <v>46</v>
      </c>
      <c r="B6" s="5" t="n">
        <v>4</v>
      </c>
      <c r="C6" s="15"/>
      <c r="D6" s="16" t="s">
        <v>43</v>
      </c>
      <c r="E6" s="10" t="n">
        <f aca="false">成本计算器!$B$15</f>
        <v>3</v>
      </c>
      <c r="F6" s="8" t="n">
        <f aca="false">IF($D6="Draft",$B6*$E6*成本计算器!$B$14,0)</f>
        <v>3.12</v>
      </c>
      <c r="G6" s="8" t="n">
        <f aca="false">IF($D6="Draft",$B6*成本计算器!$B$12,$B6*$E6*成本计算器!$B$12)</f>
        <v>5.8</v>
      </c>
      <c r="H6" s="8" t="n">
        <f aca="false">F6+G6</f>
        <v>8.92</v>
      </c>
    </row>
    <row r="7" customFormat="false" ht="15" hidden="false" customHeight="false" outlineLevel="0" collapsed="false">
      <c r="A7" s="15" t="s">
        <v>47</v>
      </c>
      <c r="B7" s="5" t="n">
        <v>4</v>
      </c>
      <c r="C7" s="15"/>
      <c r="D7" s="16" t="s">
        <v>43</v>
      </c>
      <c r="E7" s="10" t="n">
        <f aca="false">成本计算器!$B$15</f>
        <v>3</v>
      </c>
      <c r="F7" s="8" t="n">
        <f aca="false">IF($D7="Draft",$B7*$E7*成本计算器!$B$14,0)</f>
        <v>3.12</v>
      </c>
      <c r="G7" s="8" t="n">
        <f aca="false">IF($D7="Draft",$B7*成本计算器!$B$12,$B7*$E7*成本计算器!$B$12)</f>
        <v>5.8</v>
      </c>
      <c r="H7" s="8" t="n">
        <f aca="false">F7+G7</f>
        <v>8.92</v>
      </c>
    </row>
    <row r="8" customFormat="false" ht="15" hidden="false" customHeight="false" outlineLevel="0" collapsed="false">
      <c r="A8" s="15" t="s">
        <v>48</v>
      </c>
      <c r="B8" s="5" t="n">
        <v>4</v>
      </c>
      <c r="C8" s="15"/>
      <c r="D8" s="16" t="s">
        <v>43</v>
      </c>
      <c r="E8" s="10" t="n">
        <f aca="false">成本计算器!$B$15</f>
        <v>3</v>
      </c>
      <c r="F8" s="8" t="n">
        <f aca="false">IF($D8="Draft",$B8*$E8*成本计算器!$B$14,0)</f>
        <v>3.12</v>
      </c>
      <c r="G8" s="8" t="n">
        <f aca="false">IF($D8="Draft",$B8*成本计算器!$B$12,$B8*$E8*成本计算器!$B$12)</f>
        <v>5.8</v>
      </c>
      <c r="H8" s="8" t="n">
        <f aca="false">F8+G8</f>
        <v>8.92</v>
      </c>
    </row>
    <row r="9" customFormat="false" ht="15" hidden="false" customHeight="false" outlineLevel="0" collapsed="false">
      <c r="A9" s="15" t="s">
        <v>49</v>
      </c>
      <c r="B9" s="5" t="n">
        <v>4</v>
      </c>
      <c r="C9" s="15"/>
      <c r="D9" s="16" t="s">
        <v>43</v>
      </c>
      <c r="E9" s="10" t="n">
        <f aca="false">成本计算器!$B$15</f>
        <v>3</v>
      </c>
      <c r="F9" s="8" t="n">
        <f aca="false">IF($D9="Draft",$B9*$E9*成本计算器!$B$14,0)</f>
        <v>3.12</v>
      </c>
      <c r="G9" s="8" t="n">
        <f aca="false">IF($D9="Draft",$B9*成本计算器!$B$12,$B9*$E9*成本计算器!$B$12)</f>
        <v>5.8</v>
      </c>
      <c r="H9" s="8" t="n">
        <f aca="false">F9+G9</f>
        <v>8.92</v>
      </c>
    </row>
    <row r="10" customFormat="false" ht="15" hidden="false" customHeight="false" outlineLevel="0" collapsed="false">
      <c r="A10" s="15" t="s">
        <v>50</v>
      </c>
      <c r="B10" s="5" t="n">
        <v>4</v>
      </c>
      <c r="C10" s="15"/>
      <c r="D10" s="16" t="s">
        <v>43</v>
      </c>
      <c r="E10" s="10" t="n">
        <f aca="false">成本计算器!$B$15</f>
        <v>3</v>
      </c>
      <c r="F10" s="8" t="n">
        <f aca="false">IF($D10="Draft",$B10*$E10*成本计算器!$B$14,0)</f>
        <v>3.12</v>
      </c>
      <c r="G10" s="8" t="n">
        <f aca="false">IF($D10="Draft",$B10*成本计算器!$B$12,$B10*$E10*成本计算器!$B$12)</f>
        <v>5.8</v>
      </c>
      <c r="H10" s="8" t="n">
        <f aca="false">F10+G10</f>
        <v>8.92</v>
      </c>
    </row>
    <row r="11" customFormat="false" ht="15" hidden="false" customHeight="false" outlineLevel="0" collapsed="false">
      <c r="A11" s="15" t="s">
        <v>51</v>
      </c>
      <c r="B11" s="5" t="n">
        <v>4</v>
      </c>
      <c r="C11" s="15"/>
      <c r="D11" s="16" t="s">
        <v>43</v>
      </c>
      <c r="E11" s="10" t="n">
        <f aca="false">成本计算器!$B$15</f>
        <v>3</v>
      </c>
      <c r="F11" s="8" t="n">
        <f aca="false">IF($D11="Draft",$B11*$E11*成本计算器!$B$14,0)</f>
        <v>3.12</v>
      </c>
      <c r="G11" s="8" t="n">
        <f aca="false">IF($D11="Draft",$B11*成本计算器!$B$12,$B11*$E11*成本计算器!$B$12)</f>
        <v>5.8</v>
      </c>
      <c r="H11" s="8" t="n">
        <f aca="false">F11+G11</f>
        <v>8.92</v>
      </c>
    </row>
    <row r="12" customFormat="false" ht="15" hidden="false" customHeight="false" outlineLevel="0" collapsed="false">
      <c r="A12" s="15" t="s">
        <v>52</v>
      </c>
      <c r="B12" s="5" t="n">
        <v>4</v>
      </c>
      <c r="C12" s="15"/>
      <c r="D12" s="16" t="s">
        <v>43</v>
      </c>
      <c r="E12" s="10" t="n">
        <f aca="false">成本计算器!$B$15</f>
        <v>3</v>
      </c>
      <c r="F12" s="8" t="n">
        <f aca="false">IF($D12="Draft",$B12*$E12*成本计算器!$B$14,0)</f>
        <v>3.12</v>
      </c>
      <c r="G12" s="8" t="n">
        <f aca="false">IF($D12="Draft",$B12*成本计算器!$B$12,$B12*$E12*成本计算器!$B$12)</f>
        <v>5.8</v>
      </c>
      <c r="H12" s="8" t="n">
        <f aca="false">F12+G12</f>
        <v>8.92</v>
      </c>
    </row>
    <row r="13" customFormat="false" ht="15" hidden="false" customHeight="false" outlineLevel="0" collapsed="false">
      <c r="A13" s="15" t="s">
        <v>53</v>
      </c>
      <c r="B13" s="5" t="n">
        <v>4</v>
      </c>
      <c r="C13" s="15"/>
      <c r="D13" s="16" t="s">
        <v>43</v>
      </c>
      <c r="E13" s="10" t="n">
        <f aca="false">成本计算器!$B$15</f>
        <v>3</v>
      </c>
      <c r="F13" s="8" t="n">
        <f aca="false">IF($D13="Draft",$B13*$E13*成本计算器!$B$14,0)</f>
        <v>3.12</v>
      </c>
      <c r="G13" s="8" t="n">
        <f aca="false">IF($D13="Draft",$B13*成本计算器!$B$12,$B13*$E13*成本计算器!$B$12)</f>
        <v>5.8</v>
      </c>
      <c r="H13" s="8" t="n">
        <f aca="false">F13+G13</f>
        <v>8.92</v>
      </c>
    </row>
    <row r="14" customFormat="false" ht="15" hidden="false" customHeight="false" outlineLevel="0" collapsed="false">
      <c r="A14" s="15" t="s">
        <v>54</v>
      </c>
      <c r="B14" s="5" t="n">
        <v>4</v>
      </c>
      <c r="C14" s="15"/>
      <c r="D14" s="16" t="s">
        <v>43</v>
      </c>
      <c r="E14" s="10" t="n">
        <f aca="false">成本计算器!$B$15</f>
        <v>3</v>
      </c>
      <c r="F14" s="8" t="n">
        <f aca="false">IF($D14="Draft",$B14*$E14*成本计算器!$B$14,0)</f>
        <v>3.12</v>
      </c>
      <c r="G14" s="8" t="n">
        <f aca="false">IF($D14="Draft",$B14*成本计算器!$B$12,$B14*$E14*成本计算器!$B$12)</f>
        <v>5.8</v>
      </c>
      <c r="H14" s="8" t="n">
        <f aca="false">F14+G14</f>
        <v>8.92</v>
      </c>
    </row>
    <row r="15" customFormat="false" ht="15" hidden="false" customHeight="false" outlineLevel="0" collapsed="false">
      <c r="A15" s="15" t="s">
        <v>55</v>
      </c>
      <c r="B15" s="5" t="n">
        <v>4</v>
      </c>
      <c r="C15" s="15"/>
      <c r="D15" s="16" t="s">
        <v>43</v>
      </c>
      <c r="E15" s="10" t="n">
        <f aca="false">成本计算器!$B$15</f>
        <v>3</v>
      </c>
      <c r="F15" s="8" t="n">
        <f aca="false">IF($D15="Draft",$B15*$E15*成本计算器!$B$14,0)</f>
        <v>3.12</v>
      </c>
      <c r="G15" s="8" t="n">
        <f aca="false">IF($D15="Draft",$B15*成本计算器!$B$12,$B15*$E15*成本计算器!$B$12)</f>
        <v>5.8</v>
      </c>
      <c r="H15" s="8" t="n">
        <f aca="false">F15+G15</f>
        <v>8.92</v>
      </c>
    </row>
    <row r="16" customFormat="false" ht="15" hidden="false" customHeight="false" outlineLevel="0" collapsed="false">
      <c r="A16" s="15" t="s">
        <v>56</v>
      </c>
      <c r="B16" s="5" t="n">
        <v>4</v>
      </c>
      <c r="C16" s="15"/>
      <c r="D16" s="16" t="s">
        <v>43</v>
      </c>
      <c r="E16" s="10" t="n">
        <f aca="false">成本计算器!$B$15</f>
        <v>3</v>
      </c>
      <c r="F16" s="8" t="n">
        <f aca="false">IF($D16="Draft",$B16*$E16*成本计算器!$B$14,0)</f>
        <v>3.12</v>
      </c>
      <c r="G16" s="8" t="n">
        <f aca="false">IF($D16="Draft",$B16*成本计算器!$B$12,$B16*$E16*成本计算器!$B$12)</f>
        <v>5.8</v>
      </c>
      <c r="H16" s="8" t="n">
        <f aca="false">F16+G16</f>
        <v>8.92</v>
      </c>
    </row>
    <row r="17" customFormat="false" ht="15" hidden="false" customHeight="false" outlineLevel="0" collapsed="false">
      <c r="A17" s="15" t="s">
        <v>57</v>
      </c>
      <c r="B17" s="5" t="n">
        <v>4</v>
      </c>
      <c r="C17" s="15"/>
      <c r="D17" s="16" t="s">
        <v>43</v>
      </c>
      <c r="E17" s="10" t="n">
        <f aca="false">成本计算器!$B$15</f>
        <v>3</v>
      </c>
      <c r="F17" s="8" t="n">
        <f aca="false">IF($D17="Draft",$B17*$E17*成本计算器!$B$14,0)</f>
        <v>3.12</v>
      </c>
      <c r="G17" s="8" t="n">
        <f aca="false">IF($D17="Draft",$B17*成本计算器!$B$12,$B17*$E17*成本计算器!$B$12)</f>
        <v>5.8</v>
      </c>
      <c r="H17" s="8" t="n">
        <f aca="false">F17+G17</f>
        <v>8.92</v>
      </c>
    </row>
    <row r="18" customFormat="false" ht="15" hidden="false" customHeight="false" outlineLevel="0" collapsed="false">
      <c r="A18" s="15" t="s">
        <v>58</v>
      </c>
      <c r="B18" s="5" t="n">
        <v>4</v>
      </c>
      <c r="C18" s="15"/>
      <c r="D18" s="16" t="s">
        <v>43</v>
      </c>
      <c r="E18" s="10" t="n">
        <f aca="false">成本计算器!$B$15</f>
        <v>3</v>
      </c>
      <c r="F18" s="8" t="n">
        <f aca="false">IF($D18="Draft",$B18*$E18*成本计算器!$B$14,0)</f>
        <v>3.12</v>
      </c>
      <c r="G18" s="8" t="n">
        <f aca="false">IF($D18="Draft",$B18*成本计算器!$B$12,$B18*$E18*成本计算器!$B$12)</f>
        <v>5.8</v>
      </c>
      <c r="H18" s="8" t="n">
        <f aca="false">F18+G18</f>
        <v>8.92</v>
      </c>
    </row>
    <row r="19" customFormat="false" ht="15" hidden="false" customHeight="false" outlineLevel="0" collapsed="false">
      <c r="A19" s="15" t="s">
        <v>59</v>
      </c>
      <c r="B19" s="5" t="n">
        <v>4</v>
      </c>
      <c r="C19" s="15"/>
      <c r="D19" s="16" t="s">
        <v>43</v>
      </c>
      <c r="E19" s="10" t="n">
        <f aca="false">成本计算器!$B$15</f>
        <v>3</v>
      </c>
      <c r="F19" s="8" t="n">
        <f aca="false">IF($D19="Draft",$B19*$E19*成本计算器!$B$14,0)</f>
        <v>3.12</v>
      </c>
      <c r="G19" s="8" t="n">
        <f aca="false">IF($D19="Draft",$B19*成本计算器!$B$12,$B19*$E19*成本计算器!$B$12)</f>
        <v>5.8</v>
      </c>
      <c r="H19" s="8" t="n">
        <f aca="false">F19+G19</f>
        <v>8.92</v>
      </c>
    </row>
    <row r="20" customFormat="false" ht="15" hidden="false" customHeight="false" outlineLevel="0" collapsed="false">
      <c r="A20" s="15" t="s">
        <v>60</v>
      </c>
      <c r="B20" s="5" t="n">
        <v>4</v>
      </c>
      <c r="C20" s="15"/>
      <c r="D20" s="16" t="s">
        <v>43</v>
      </c>
      <c r="E20" s="10" t="n">
        <f aca="false">成本计算器!$B$15</f>
        <v>3</v>
      </c>
      <c r="F20" s="8" t="n">
        <f aca="false">IF($D20="Draft",$B20*$E20*成本计算器!$B$14,0)</f>
        <v>3.12</v>
      </c>
      <c r="G20" s="8" t="n">
        <f aca="false">IF($D20="Draft",$B20*成本计算器!$B$12,$B20*$E20*成本计算器!$B$12)</f>
        <v>5.8</v>
      </c>
      <c r="H20" s="8" t="n">
        <f aca="false">F20+G20</f>
        <v>8.92</v>
      </c>
    </row>
    <row r="21" customFormat="false" ht="15" hidden="false" customHeight="false" outlineLevel="0" collapsed="false">
      <c r="A21" s="15" t="s">
        <v>61</v>
      </c>
      <c r="B21" s="5" t="n">
        <v>4</v>
      </c>
      <c r="C21" s="15"/>
      <c r="D21" s="16" t="s">
        <v>43</v>
      </c>
      <c r="E21" s="10" t="n">
        <f aca="false">成本计算器!$B$15</f>
        <v>3</v>
      </c>
      <c r="F21" s="8" t="n">
        <f aca="false">IF($D21="Draft",$B21*$E21*成本计算器!$B$14,0)</f>
        <v>3.12</v>
      </c>
      <c r="G21" s="8" t="n">
        <f aca="false">IF($D21="Draft",$B21*成本计算器!$B$12,$B21*$E21*成本计算器!$B$12)</f>
        <v>5.8</v>
      </c>
      <c r="H21" s="8" t="n">
        <f aca="false">F21+G21</f>
        <v>8.92</v>
      </c>
    </row>
    <row r="22" customFormat="false" ht="15" hidden="false" customHeight="false" outlineLevel="0" collapsed="false">
      <c r="A22" s="15" t="s">
        <v>62</v>
      </c>
      <c r="B22" s="5" t="n">
        <v>4</v>
      </c>
      <c r="C22" s="15"/>
      <c r="D22" s="16" t="s">
        <v>43</v>
      </c>
      <c r="E22" s="10" t="n">
        <f aca="false">成本计算器!$B$15</f>
        <v>3</v>
      </c>
      <c r="F22" s="8" t="n">
        <f aca="false">IF($D22="Draft",$B22*$E22*成本计算器!$B$14,0)</f>
        <v>3.12</v>
      </c>
      <c r="G22" s="8" t="n">
        <f aca="false">IF($D22="Draft",$B22*成本计算器!$B$12,$B22*$E22*成本计算器!$B$12)</f>
        <v>5.8</v>
      </c>
      <c r="H22" s="8" t="n">
        <f aca="false">F22+G22</f>
        <v>8.92</v>
      </c>
    </row>
    <row r="23" customFormat="false" ht="15" hidden="false" customHeight="false" outlineLevel="0" collapsed="false">
      <c r="A23" s="11" t="s">
        <v>63</v>
      </c>
      <c r="F23" s="12" t="n">
        <f aca="false">SUM(F3:F22)</f>
        <v>62.4</v>
      </c>
      <c r="G23" s="12" t="n">
        <f aca="false">SUM(G3:G22)</f>
        <v>116</v>
      </c>
      <c r="H23" s="12" t="n">
        <f aca="false">SUM(H3:H22)</f>
        <v>178.4</v>
      </c>
    </row>
  </sheetData>
  <mergeCells count="1">
    <mergeCell ref="A1:H1"/>
  </mergeCells>
  <dataValidations count="1">
    <dataValidation allowBlank="false" errorStyle="stop" operator="between" showDropDown="false" showErrorMessage="false" showInputMessage="false" sqref="D3:D22" type="list">
      <formula1>"Draft,直出"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2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34"/>
  </cols>
  <sheetData>
    <row r="1" customFormat="false" ht="21.6" hidden="false" customHeight="false" outlineLevel="0" collapsed="false">
      <c r="A1" s="1" t="s">
        <v>64</v>
      </c>
      <c r="B1" s="1"/>
      <c r="C1" s="1"/>
      <c r="D1" s="1"/>
      <c r="E1" s="1"/>
      <c r="F1" s="1"/>
      <c r="G1" s="1"/>
    </row>
    <row r="3" customFormat="false" ht="17.15" hidden="false" customHeight="false" outlineLevel="0" collapsed="false">
      <c r="A3" s="14" t="s">
        <v>65</v>
      </c>
      <c r="B3" s="14" t="s">
        <v>66</v>
      </c>
      <c r="C3" s="14" t="s">
        <v>67</v>
      </c>
      <c r="D3" s="14" t="s">
        <v>68</v>
      </c>
      <c r="E3" s="14" t="s">
        <v>69</v>
      </c>
      <c r="F3" s="14" t="s">
        <v>70</v>
      </c>
      <c r="G3" s="14" t="s">
        <v>71</v>
      </c>
    </row>
    <row r="4" customFormat="false" ht="17.15" hidden="false" customHeight="false" outlineLevel="0" collapsed="false">
      <c r="A4" s="17" t="s">
        <v>9</v>
      </c>
      <c r="B4" s="15" t="s">
        <v>72</v>
      </c>
      <c r="C4" s="15" t="s">
        <v>73</v>
      </c>
      <c r="D4" s="15" t="s">
        <v>74</v>
      </c>
      <c r="E4" s="9" t="n">
        <v>1.45</v>
      </c>
      <c r="F4" s="17" t="s">
        <v>75</v>
      </c>
      <c r="G4" s="17" t="s">
        <v>76</v>
      </c>
    </row>
    <row r="5" customFormat="false" ht="17.15" hidden="false" customHeight="false" outlineLevel="0" collapsed="false">
      <c r="A5" s="17" t="s">
        <v>77</v>
      </c>
      <c r="B5" s="15" t="s">
        <v>78</v>
      </c>
      <c r="C5" s="15" t="s">
        <v>73</v>
      </c>
      <c r="D5" s="15" t="s">
        <v>74</v>
      </c>
      <c r="E5" s="9" t="n">
        <v>1</v>
      </c>
      <c r="F5" s="17" t="s">
        <v>75</v>
      </c>
      <c r="G5" s="17" t="s">
        <v>79</v>
      </c>
    </row>
    <row r="6" customFormat="false" ht="17.15" hidden="false" customHeight="false" outlineLevel="0" collapsed="false">
      <c r="A6" s="15" t="s">
        <v>80</v>
      </c>
      <c r="B6" s="15" t="s">
        <v>81</v>
      </c>
      <c r="C6" s="15" t="s">
        <v>82</v>
      </c>
      <c r="D6" s="15" t="s">
        <v>74</v>
      </c>
      <c r="E6" s="9" t="n">
        <v>0.26</v>
      </c>
      <c r="F6" s="17" t="s">
        <v>75</v>
      </c>
      <c r="G6" s="17" t="s">
        <v>83</v>
      </c>
    </row>
    <row r="7" customFormat="false" ht="17.15" hidden="false" customHeight="false" outlineLevel="0" collapsed="false">
      <c r="A7" s="17" t="s">
        <v>84</v>
      </c>
      <c r="B7" s="15" t="s">
        <v>85</v>
      </c>
      <c r="C7" s="15" t="s">
        <v>86</v>
      </c>
      <c r="D7" s="15" t="s">
        <v>74</v>
      </c>
      <c r="E7" s="18"/>
      <c r="F7" s="17" t="s">
        <v>75</v>
      </c>
      <c r="G7" s="17" t="s">
        <v>87</v>
      </c>
    </row>
    <row r="8" customFormat="false" ht="17.15" hidden="false" customHeight="false" outlineLevel="0" collapsed="false">
      <c r="A8" s="17" t="s">
        <v>88</v>
      </c>
      <c r="B8" s="15" t="s">
        <v>89</v>
      </c>
      <c r="C8" s="15" t="s">
        <v>86</v>
      </c>
      <c r="D8" s="15" t="s">
        <v>74</v>
      </c>
      <c r="E8" s="18"/>
      <c r="F8" s="17" t="s">
        <v>75</v>
      </c>
      <c r="G8" s="17" t="s">
        <v>90</v>
      </c>
    </row>
    <row r="9" customFormat="false" ht="17.15" hidden="false" customHeight="false" outlineLevel="0" collapsed="false">
      <c r="A9" s="17" t="s">
        <v>91</v>
      </c>
      <c r="B9" s="15" t="s">
        <v>19</v>
      </c>
      <c r="C9" s="15" t="s">
        <v>92</v>
      </c>
      <c r="D9" s="15" t="s">
        <v>93</v>
      </c>
      <c r="E9" s="9" t="n">
        <v>0.2</v>
      </c>
      <c r="F9" s="17" t="s">
        <v>94</v>
      </c>
      <c r="G9" s="17" t="s">
        <v>95</v>
      </c>
    </row>
    <row r="10" customFormat="false" ht="17.15" hidden="false" customHeight="false" outlineLevel="0" collapsed="false">
      <c r="A10" s="17" t="s">
        <v>96</v>
      </c>
      <c r="B10" s="17" t="s">
        <v>97</v>
      </c>
      <c r="C10" s="15" t="s">
        <v>93</v>
      </c>
      <c r="D10" s="15" t="s">
        <v>93</v>
      </c>
      <c r="E10" s="18"/>
      <c r="F10" s="17" t="s">
        <v>94</v>
      </c>
      <c r="G10" s="17" t="s">
        <v>98</v>
      </c>
    </row>
    <row r="12" customFormat="false" ht="15" hidden="false" customHeight="false" outlineLevel="0" collapsed="false">
      <c r="A12" s="11"/>
    </row>
    <row r="13" customFormat="false" ht="15" hidden="false" customHeight="false" outlineLevel="0" collapsed="false">
      <c r="A13" s="11" t="s">
        <v>99</v>
      </c>
    </row>
    <row r="14" customFormat="false" ht="15" hidden="false" customHeight="false" outlineLevel="0" collapsed="false">
      <c r="A14" s="19" t="s">
        <v>100</v>
      </c>
    </row>
    <row r="15" customFormat="false" ht="15" hidden="false" customHeight="false" outlineLevel="0" collapsed="false">
      <c r="A15" s="20" t="s">
        <v>101</v>
      </c>
    </row>
    <row r="16" customFormat="false" ht="15" hidden="false" customHeight="false" outlineLevel="0" collapsed="false">
      <c r="A16" s="20" t="s">
        <v>102</v>
      </c>
    </row>
    <row r="17" customFormat="false" ht="15" hidden="false" customHeight="false" outlineLevel="0" collapsed="false">
      <c r="A17" s="19" t="s">
        <v>103</v>
      </c>
    </row>
    <row r="18" customFormat="false" ht="15" hidden="false" customHeight="false" outlineLevel="0" collapsed="false">
      <c r="A18" s="19" t="s">
        <v>104</v>
      </c>
    </row>
    <row r="19" customFormat="false" ht="15" hidden="false" customHeight="false" outlineLevel="0" collapsed="false">
      <c r="A19" s="20" t="s">
        <v>105</v>
      </c>
    </row>
    <row r="20" customFormat="false" ht="15" hidden="false" customHeight="false" outlineLevel="0" collapsed="false">
      <c r="A20" s="19" t="s">
        <v>106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8"/>
    <col collapsed="false" customWidth="true" hidden="false" outlineLevel="0" max="5" min="5" style="0" width="24"/>
  </cols>
  <sheetData>
    <row r="1" customFormat="false" ht="17.35" hidden="false" customHeight="false" outlineLevel="0" collapsed="false">
      <c r="A1" s="1" t="s">
        <v>107</v>
      </c>
      <c r="B1" s="1"/>
      <c r="C1" s="1"/>
      <c r="D1" s="1"/>
      <c r="E1" s="1"/>
    </row>
    <row r="2" customFormat="false" ht="14.15" hidden="false" customHeight="false" outlineLevel="0" collapsed="false">
      <c r="A2" s="2" t="s">
        <v>108</v>
      </c>
      <c r="B2" s="2"/>
      <c r="C2" s="2"/>
      <c r="D2" s="2"/>
      <c r="E2" s="2"/>
    </row>
    <row r="3" customFormat="false" ht="17.15" hidden="false" customHeight="false" outlineLevel="0" collapsed="false">
      <c r="A3" s="14" t="s">
        <v>14</v>
      </c>
      <c r="B3" s="21" t="s">
        <v>109</v>
      </c>
      <c r="C3" s="21" t="s">
        <v>110</v>
      </c>
      <c r="D3" s="21" t="s">
        <v>111</v>
      </c>
      <c r="E3" s="21" t="s">
        <v>112</v>
      </c>
    </row>
    <row r="4" customFormat="false" ht="15" hidden="false" customHeight="false" outlineLevel="0" collapsed="false">
      <c r="A4" s="15" t="n">
        <v>1</v>
      </c>
      <c r="B4" s="8" t="n">
        <f aca="false">成本计算器!$B$7*$A4*成本计算器!$B$6*模型与单价!$E$5</f>
        <v>80</v>
      </c>
      <c r="C4" s="8" t="n">
        <f aca="false">成本计算器!$B$7*$A4*成本计算器!$B$6*模型与单价!$E$4</f>
        <v>116</v>
      </c>
      <c r="D4" s="8" t="n">
        <f aca="false">成本计算器!$B$7*成本计算器!$B$6*(模型与单价!$E$6*$A4+模型与单价!$E$4)</f>
        <v>136.8</v>
      </c>
      <c r="E4" s="22" t="n">
        <f aca="false">IF(C4=0,"",(C4-D4)/C4)</f>
        <v>-0.179310344827586</v>
      </c>
    </row>
    <row r="5" customFormat="false" ht="15" hidden="false" customHeight="false" outlineLevel="0" collapsed="false">
      <c r="A5" s="15" t="n">
        <v>2</v>
      </c>
      <c r="B5" s="8" t="n">
        <f aca="false">成本计算器!$B$7*$A5*成本计算器!$B$6*模型与单价!$E$5</f>
        <v>160</v>
      </c>
      <c r="C5" s="8" t="n">
        <f aca="false">成本计算器!$B$7*$A5*成本计算器!$B$6*模型与单价!$E$4</f>
        <v>232</v>
      </c>
      <c r="D5" s="8" t="n">
        <f aca="false">成本计算器!$B$7*成本计算器!$B$6*(模型与单价!$E$6*$A5+模型与单价!$E$4)</f>
        <v>157.6</v>
      </c>
      <c r="E5" s="22" t="n">
        <f aca="false">IF(C5=0,"",(C5-D5)/C5)</f>
        <v>0.320689655172414</v>
      </c>
    </row>
    <row r="6" customFormat="false" ht="15" hidden="false" customHeight="false" outlineLevel="0" collapsed="false">
      <c r="A6" s="15" t="n">
        <v>3</v>
      </c>
      <c r="B6" s="8" t="n">
        <f aca="false">成本计算器!$B$7*$A6*成本计算器!$B$6*模型与单价!$E$5</f>
        <v>240</v>
      </c>
      <c r="C6" s="8" t="n">
        <f aca="false">成本计算器!$B$7*$A6*成本计算器!$B$6*模型与单价!$E$4</f>
        <v>348</v>
      </c>
      <c r="D6" s="8" t="n">
        <f aca="false">成本计算器!$B$7*成本计算器!$B$6*(模型与单价!$E$6*$A6+模型与单价!$E$4)</f>
        <v>178.4</v>
      </c>
      <c r="E6" s="22" t="n">
        <f aca="false">IF(C6=0,"",(C6-D6)/C6)</f>
        <v>0.48735632183908</v>
      </c>
    </row>
    <row r="7" customFormat="false" ht="15" hidden="false" customHeight="false" outlineLevel="0" collapsed="false">
      <c r="A7" s="15" t="n">
        <v>4</v>
      </c>
      <c r="B7" s="8" t="n">
        <f aca="false">成本计算器!$B$7*$A7*成本计算器!$B$6*模型与单价!$E$5</f>
        <v>320</v>
      </c>
      <c r="C7" s="8" t="n">
        <f aca="false">成本计算器!$B$7*$A7*成本计算器!$B$6*模型与单价!$E$4</f>
        <v>464</v>
      </c>
      <c r="D7" s="8" t="n">
        <f aca="false">成本计算器!$B$7*成本计算器!$B$6*(模型与单价!$E$6*$A7+模型与单价!$E$4)</f>
        <v>199.2</v>
      </c>
      <c r="E7" s="22" t="n">
        <f aca="false">IF(C7=0,"",(C7-D7)/C7)</f>
        <v>0.570689655172414</v>
      </c>
    </row>
    <row r="8" customFormat="false" ht="15" hidden="false" customHeight="false" outlineLevel="0" collapsed="false">
      <c r="A8" s="15" t="n">
        <v>5</v>
      </c>
      <c r="B8" s="8" t="n">
        <f aca="false">成本计算器!$B$7*$A8*成本计算器!$B$6*模型与单价!$E$5</f>
        <v>400</v>
      </c>
      <c r="C8" s="8" t="n">
        <f aca="false">成本计算器!$B$7*$A8*成本计算器!$B$6*模型与单价!$E$4</f>
        <v>580</v>
      </c>
      <c r="D8" s="8" t="n">
        <f aca="false">成本计算器!$B$7*成本计算器!$B$6*(模型与单价!$E$6*$A8+模型与单价!$E$4)</f>
        <v>220</v>
      </c>
      <c r="E8" s="22" t="n">
        <f aca="false">IF(C8=0,"",(C8-D8)/C8)</f>
        <v>0.620689655172414</v>
      </c>
    </row>
    <row r="9" customFormat="false" ht="15" hidden="false" customHeight="false" outlineLevel="0" collapsed="false">
      <c r="A9" s="15" t="n">
        <v>6</v>
      </c>
      <c r="B9" s="8" t="n">
        <f aca="false">成本计算器!$B$7*$A9*成本计算器!$B$6*模型与单价!$E$5</f>
        <v>480</v>
      </c>
      <c r="C9" s="8" t="n">
        <f aca="false">成本计算器!$B$7*$A9*成本计算器!$B$6*模型与单价!$E$4</f>
        <v>696</v>
      </c>
      <c r="D9" s="8" t="n">
        <f aca="false">成本计算器!$B$7*成本计算器!$B$6*(模型与单价!$E$6*$A9+模型与单价!$E$4)</f>
        <v>240.8</v>
      </c>
      <c r="E9" s="22" t="n">
        <f aca="false">IF(C9=0,"",(C9-D9)/C9)</f>
        <v>0.654022988505747</v>
      </c>
    </row>
    <row r="10" customFormat="false" ht="15" hidden="false" customHeight="false" outlineLevel="0" collapsed="false">
      <c r="A10" s="15" t="n">
        <v>7</v>
      </c>
      <c r="B10" s="8" t="n">
        <f aca="false">成本计算器!$B$7*$A10*成本计算器!$B$6*模型与单价!$E$5</f>
        <v>560</v>
      </c>
      <c r="C10" s="8" t="n">
        <f aca="false">成本计算器!$B$7*$A10*成本计算器!$B$6*模型与单价!$E$4</f>
        <v>812</v>
      </c>
      <c r="D10" s="8" t="n">
        <f aca="false">成本计算器!$B$7*成本计算器!$B$6*(模型与单价!$E$6*$A10+模型与单价!$E$4)</f>
        <v>261.6</v>
      </c>
      <c r="E10" s="22" t="n">
        <f aca="false">IF(C10=0,"",(C10-D10)/C10)</f>
        <v>0.677832512315271</v>
      </c>
    </row>
    <row r="11" customFormat="false" ht="15" hidden="false" customHeight="false" outlineLevel="0" collapsed="false">
      <c r="A11" s="15" t="n">
        <v>8</v>
      </c>
      <c r="B11" s="8" t="n">
        <f aca="false">成本计算器!$B$7*$A11*成本计算器!$B$6*模型与单价!$E$5</f>
        <v>640</v>
      </c>
      <c r="C11" s="8" t="n">
        <f aca="false">成本计算器!$B$7*$A11*成本计算器!$B$6*模型与单价!$E$4</f>
        <v>928</v>
      </c>
      <c r="D11" s="8" t="n">
        <f aca="false">成本计算器!$B$7*成本计算器!$B$6*(模型与单价!$E$6*$A11+模型与单价!$E$4)</f>
        <v>282.4</v>
      </c>
      <c r="E11" s="22" t="n">
        <f aca="false">IF(C11=0,"",(C11-D11)/C11)</f>
        <v>0.695689655172414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2026-10-07T15:33:45Z</dcterms:created>
  <dc:creator>openpyxl</dc:creator>
  <dc:description/>
  <dc:language>en-US</dc:language>
  <cp:lastModifiedBy/>
  <dcterms:modified xsi:type="dcterms:W3CDTF">2026-10-07T15:33:45Z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